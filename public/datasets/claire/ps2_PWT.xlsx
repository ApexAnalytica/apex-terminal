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d.docs.live.net/a0336c2cb49435c6/Documents/"/>
    </mc:Choice>
  </mc:AlternateContent>
  <xr:revisionPtr revIDLastSave="0" documentId="8_{E8ABE44E-6DA7-F646-994A-1CFE90B4C0C9}" xr6:coauthVersionLast="47" xr6:coauthVersionMax="47" xr10:uidLastSave="{00000000-0000-0000-0000-000000000000}"/>
  <bookViews>
    <workbookView xWindow="1440" yWindow="1300" windowWidth="28800" windowHeight="14380" activeTab="1" xr2:uid="{00000000-000D-0000-FFFF-FFFF00000000}"/>
  </bookViews>
  <sheets>
    <sheet name="China and Brazil" sheetId="1" r:id="rId1"/>
    <sheet name="Chart" sheetId="5" r:id="rId2"/>
    <sheet name="GDP" sheetId="2" r:id="rId3"/>
    <sheet name="TFP" sheetId="3" r:id="rId4"/>
    <sheet name="MPK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1" l="1"/>
  <c r="N52" i="1"/>
  <c r="N12" i="1"/>
  <c r="N11" i="1"/>
  <c r="M11" i="1"/>
  <c r="O52" i="1"/>
  <c r="O51" i="1"/>
  <c r="O11" i="1"/>
  <c r="M52" i="1"/>
  <c r="M51" i="1"/>
  <c r="O12" i="1"/>
  <c r="M12" i="1"/>
  <c r="M49" i="1"/>
  <c r="O49" i="1"/>
  <c r="O48" i="1"/>
  <c r="O47" i="1"/>
  <c r="N49" i="1"/>
  <c r="N48" i="1"/>
  <c r="N47" i="1"/>
  <c r="M48" i="1"/>
  <c r="M47" i="1"/>
  <c r="M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3" i="1"/>
  <c r="G3" i="1"/>
  <c r="J4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3" i="1"/>
  <c r="I83" i="1"/>
  <c r="I20" i="1"/>
  <c r="I21" i="1"/>
  <c r="I22" i="1"/>
  <c r="I23" i="1"/>
  <c r="I24" i="1"/>
  <c r="I3" i="1"/>
  <c r="I4" i="1"/>
  <c r="O7" i="1" s="1"/>
  <c r="H47" i="1"/>
  <c r="I66" i="1" s="1"/>
  <c r="H48" i="1"/>
  <c r="I48" i="1" s="1"/>
  <c r="H49" i="1"/>
  <c r="I49" i="1" s="1"/>
  <c r="H50" i="1"/>
  <c r="H51" i="1"/>
  <c r="H52" i="1"/>
  <c r="H53" i="1"/>
  <c r="H54" i="1"/>
  <c r="H55" i="1"/>
  <c r="H56" i="1"/>
  <c r="H57" i="1"/>
  <c r="H58" i="1"/>
  <c r="I58" i="1" s="1"/>
  <c r="H59" i="1"/>
  <c r="I59" i="1" s="1"/>
  <c r="H60" i="1"/>
  <c r="I60" i="1" s="1"/>
  <c r="H61" i="1"/>
  <c r="I61" i="1" s="1"/>
  <c r="H62" i="1"/>
  <c r="H63" i="1"/>
  <c r="H64" i="1"/>
  <c r="H65" i="1"/>
  <c r="H66" i="1"/>
  <c r="H67" i="1"/>
  <c r="H68" i="1"/>
  <c r="H69" i="1"/>
  <c r="H70" i="1"/>
  <c r="I70" i="1" s="1"/>
  <c r="H71" i="1"/>
  <c r="I71" i="1" s="1"/>
  <c r="H72" i="1"/>
  <c r="I72" i="1" s="1"/>
  <c r="H73" i="1"/>
  <c r="I73" i="1" s="1"/>
  <c r="H74" i="1"/>
  <c r="H75" i="1"/>
  <c r="H76" i="1"/>
  <c r="H77" i="1"/>
  <c r="H78" i="1"/>
  <c r="H79" i="1"/>
  <c r="H80" i="1"/>
  <c r="H81" i="1"/>
  <c r="H82" i="1"/>
  <c r="I82" i="1" s="1"/>
  <c r="H83" i="1"/>
  <c r="H84" i="1"/>
  <c r="I84" i="1" s="1"/>
  <c r="H85" i="1"/>
  <c r="I85" i="1" s="1"/>
  <c r="H86" i="1"/>
  <c r="H3" i="1"/>
  <c r="H46" i="1"/>
  <c r="H5" i="1"/>
  <c r="H6" i="1"/>
  <c r="H7" i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H15" i="1"/>
  <c r="H16" i="1"/>
  <c r="I16" i="1" s="1"/>
  <c r="H17" i="1"/>
  <c r="H18" i="1"/>
  <c r="H19" i="1"/>
  <c r="H20" i="1"/>
  <c r="H21" i="1"/>
  <c r="H22" i="1"/>
  <c r="H23" i="1"/>
  <c r="H24" i="1"/>
  <c r="H25" i="1"/>
  <c r="I25" i="1" s="1"/>
  <c r="H26" i="1"/>
  <c r="H27" i="1"/>
  <c r="H28" i="1"/>
  <c r="I28" i="1" s="1"/>
  <c r="H29" i="1"/>
  <c r="H30" i="1"/>
  <c r="H31" i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H39" i="1"/>
  <c r="H40" i="1"/>
  <c r="I40" i="1" s="1"/>
  <c r="H41" i="1"/>
  <c r="H42" i="1"/>
  <c r="H43" i="1"/>
  <c r="H4" i="1"/>
  <c r="I31" i="1" s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4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M8" i="1" s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M9" i="1" s="1"/>
  <c r="I42" i="1" l="1"/>
  <c r="I30" i="1"/>
  <c r="I18" i="1"/>
  <c r="I6" i="1"/>
  <c r="I53" i="1"/>
  <c r="I46" i="1"/>
  <c r="I64" i="1"/>
  <c r="I52" i="1"/>
  <c r="I39" i="1"/>
  <c r="I27" i="1"/>
  <c r="I15" i="1"/>
  <c r="I75" i="1"/>
  <c r="I63" i="1"/>
  <c r="I51" i="1"/>
  <c r="I76" i="1"/>
  <c r="I38" i="1"/>
  <c r="I26" i="1"/>
  <c r="I14" i="1"/>
  <c r="I86" i="1"/>
  <c r="I74" i="1"/>
  <c r="I62" i="1"/>
  <c r="I50" i="1"/>
  <c r="I43" i="1"/>
  <c r="O9" i="1" s="1"/>
  <c r="I19" i="1"/>
  <c r="O8" i="1" s="1"/>
  <c r="I78" i="1"/>
  <c r="I54" i="1"/>
  <c r="I77" i="1"/>
  <c r="I65" i="1"/>
  <c r="I81" i="1"/>
  <c r="I56" i="1"/>
  <c r="I79" i="1"/>
  <c r="I68" i="1"/>
  <c r="I67" i="1"/>
  <c r="I55" i="1"/>
  <c r="I7" i="1"/>
  <c r="I41" i="1"/>
  <c r="I29" i="1"/>
  <c r="I17" i="1"/>
  <c r="I5" i="1"/>
  <c r="I47" i="1"/>
  <c r="I69" i="1"/>
  <c r="I57" i="1"/>
  <c r="I80" i="1"/>
</calcChain>
</file>

<file path=xl/sharedStrings.xml><?xml version="1.0" encoding="utf-8"?>
<sst xmlns="http://schemas.openxmlformats.org/spreadsheetml/2006/main" count="134" uniqueCount="32">
  <si>
    <t>Real GDP</t>
  </si>
  <si>
    <t>Employment</t>
  </si>
  <si>
    <t>Real capital stock</t>
  </si>
  <si>
    <t>Country</t>
  </si>
  <si>
    <t>Year</t>
  </si>
  <si>
    <t>million $</t>
  </si>
  <si>
    <t>millions</t>
  </si>
  <si>
    <t>millions of $</t>
  </si>
  <si>
    <t>China</t>
  </si>
  <si>
    <t>Employment: Number of persons engaged (in millions)</t>
  </si>
  <si>
    <t>SOURCE: Penn World Table 10 - https://www.rug.nl/ggdc/productivity/pwt/</t>
  </si>
  <si>
    <t>Capital stock at constant 2017 national prices (in mil. 2017US$)</t>
  </si>
  <si>
    <t>Real GDP at constant 2017 national prices (in mil. 2017US$)</t>
  </si>
  <si>
    <t>Brazil</t>
  </si>
  <si>
    <t>GDP per worker</t>
  </si>
  <si>
    <t>Brazil GDP per worker</t>
  </si>
  <si>
    <t>China GDP per worker</t>
  </si>
  <si>
    <t>in $</t>
  </si>
  <si>
    <t>TFP</t>
  </si>
  <si>
    <t>TFP index</t>
  </si>
  <si>
    <t>Brazil TFP index</t>
  </si>
  <si>
    <t xml:space="preserve">Year </t>
  </si>
  <si>
    <t>China TFP index</t>
  </si>
  <si>
    <t>MPK</t>
  </si>
  <si>
    <t>Brazil MPK</t>
  </si>
  <si>
    <t>China MPK</t>
  </si>
  <si>
    <t>1980-1995</t>
  </si>
  <si>
    <t>1995-2019</t>
  </si>
  <si>
    <t>Y/L</t>
  </si>
  <si>
    <t>αK/L</t>
  </si>
  <si>
    <t>T F P</t>
  </si>
  <si>
    <t>K/L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</si>
</sst>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 2" xfId="1" xr:uid="{B86869BD-007E-C04D-9D3A-0FB482126D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</a:t>
            </a:r>
            <a:r>
              <a:rPr lang="en-US" baseline="0"/>
              <a:t> per worker(1980-2019)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GDP!$B$1</c:f>
              <c:strCache>
                <c:ptCount val="1"/>
                <c:pt idx="0">
                  <c:v>Brazil GDP per worker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GDP!$A$3:$A$42</c:f>
              <c:numCache>
                <c:formatCode>General</c:formatCod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numCache>
            </c:numRef>
          </c:cat>
          <c:val>
            <c:numRef>
              <c:f>GDP!$B$3:$B$42</c:f>
              <c:numCache>
                <c:formatCode>General</c:formatCode>
                <c:ptCount val="40"/>
                <c:pt idx="0">
                  <c:v>3479.0767824606855</c:v>
                </c:pt>
                <c:pt idx="1">
                  <c:v>3587.1544973630412</c:v>
                </c:pt>
                <c:pt idx="2">
                  <c:v>3611.4986989403646</c:v>
                </c:pt>
                <c:pt idx="3">
                  <c:v>3771.5872903908839</c:v>
                </c:pt>
                <c:pt idx="4">
                  <c:v>3813.4195288602277</c:v>
                </c:pt>
                <c:pt idx="5">
                  <c:v>3911.3661079347776</c:v>
                </c:pt>
                <c:pt idx="6">
                  <c:v>3988.7604591233653</c:v>
                </c:pt>
                <c:pt idx="7">
                  <c:v>4037.866022971748</c:v>
                </c:pt>
                <c:pt idx="8">
                  <c:v>4311.4886375984079</c:v>
                </c:pt>
                <c:pt idx="9">
                  <c:v>4450.8561905991246</c:v>
                </c:pt>
                <c:pt idx="10">
                  <c:v>4578.5196176482359</c:v>
                </c:pt>
                <c:pt idx="11">
                  <c:v>4512.9806991879759</c:v>
                </c:pt>
                <c:pt idx="12">
                  <c:v>4642.6841694298409</c:v>
                </c:pt>
                <c:pt idx="13">
                  <c:v>4741.1280022019009</c:v>
                </c:pt>
                <c:pt idx="14">
                  <c:v>4986.2220307892976</c:v>
                </c:pt>
                <c:pt idx="15">
                  <c:v>5307.9841339667591</c:v>
                </c:pt>
                <c:pt idx="16">
                  <c:v>5646.8383350080057</c:v>
                </c:pt>
                <c:pt idx="17">
                  <c:v>5807.0095019709697</c:v>
                </c:pt>
                <c:pt idx="18">
                  <c:v>6091.8768870360718</c:v>
                </c:pt>
                <c:pt idx="19">
                  <c:v>6546.2227990987003</c:v>
                </c:pt>
                <c:pt idx="20">
                  <c:v>6648.8144988709391</c:v>
                </c:pt>
                <c:pt idx="21">
                  <c:v>6794.9911793457422</c:v>
                </c:pt>
                <c:pt idx="22">
                  <c:v>6873.8106908555228</c:v>
                </c:pt>
                <c:pt idx="23">
                  <c:v>7218.9043415442711</c:v>
                </c:pt>
                <c:pt idx="24">
                  <c:v>7582.367817447076</c:v>
                </c:pt>
                <c:pt idx="25">
                  <c:v>8127.8428582136276</c:v>
                </c:pt>
                <c:pt idx="26">
                  <c:v>8776.5712787354023</c:v>
                </c:pt>
                <c:pt idx="27">
                  <c:v>9427.2059964395739</c:v>
                </c:pt>
                <c:pt idx="28">
                  <c:v>9680.5726060234228</c:v>
                </c:pt>
                <c:pt idx="29">
                  <c:v>10378.144271250861</c:v>
                </c:pt>
                <c:pt idx="30">
                  <c:v>11168.97800514528</c:v>
                </c:pt>
                <c:pt idx="31">
                  <c:v>11634.847640912309</c:v>
                </c:pt>
                <c:pt idx="32">
                  <c:v>12331.932012269879</c:v>
                </c:pt>
                <c:pt idx="33">
                  <c:v>12739.229548092238</c:v>
                </c:pt>
                <c:pt idx="34">
                  <c:v>13705.039598183568</c:v>
                </c:pt>
                <c:pt idx="35">
                  <c:v>14812.706729773779</c:v>
                </c:pt>
                <c:pt idx="36">
                  <c:v>16026.108836625768</c:v>
                </c:pt>
                <c:pt idx="37">
                  <c:v>17007.000041217034</c:v>
                </c:pt>
                <c:pt idx="38">
                  <c:v>17904.933950085069</c:v>
                </c:pt>
                <c:pt idx="39">
                  <c:v>18416.831668984032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8-FF4D-881C-E970D33C1A88}"/>
            </c:ext>
          </c:extLst>
        </c:ser>
        <c:ser>
          <c:idx val="1"/>
          <c:order val="1"/>
          <c:tx>
            <c:strRef>
              <c:f>GDP!$C$1</c:f>
              <c:strCache>
                <c:ptCount val="1"/>
                <c:pt idx="0">
                  <c:v>China GDP per worker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GDP!$A$3:$A$42</c:f>
              <c:numCache>
                <c:formatCode>General</c:formatCod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numCache>
            </c:numRef>
          </c:cat>
          <c:val>
            <c:numRef>
              <c:f>GDP!$C$3:$C$42</c:f>
              <c:numCache>
                <c:formatCode>General</c:formatCode>
                <c:ptCount val="40"/>
                <c:pt idx="0">
                  <c:v>3723.3860521486808</c:v>
                </c:pt>
                <c:pt idx="1">
                  <c:v>3688.6384492518368</c:v>
                </c:pt>
                <c:pt idx="2">
                  <c:v>3836.341651625693</c:v>
                </c:pt>
                <c:pt idx="3">
                  <c:v>4009.9996649187833</c:v>
                </c:pt>
                <c:pt idx="4">
                  <c:v>4327.8350655750528</c:v>
                </c:pt>
                <c:pt idx="5">
                  <c:v>4538.7199590861928</c:v>
                </c:pt>
                <c:pt idx="6">
                  <c:v>4734.8584109088197</c:v>
                </c:pt>
                <c:pt idx="7">
                  <c:v>5016.7441982985465</c:v>
                </c:pt>
                <c:pt idx="8">
                  <c:v>5085.9413264766736</c:v>
                </c:pt>
                <c:pt idx="9">
                  <c:v>4919.2045965634316</c:v>
                </c:pt>
                <c:pt idx="10">
                  <c:v>4792.0898669072058</c:v>
                </c:pt>
                <c:pt idx="11">
                  <c:v>4885.6380501053136</c:v>
                </c:pt>
                <c:pt idx="12">
                  <c:v>5208.6262183502495</c:v>
                </c:pt>
                <c:pt idx="13">
                  <c:v>5693.9037847285344</c:v>
                </c:pt>
                <c:pt idx="14">
                  <c:v>6133.3983583372556</c:v>
                </c:pt>
                <c:pt idx="15">
                  <c:v>6660.2725468787157</c:v>
                </c:pt>
                <c:pt idx="16">
                  <c:v>7072.2377298745587</c:v>
                </c:pt>
                <c:pt idx="17">
                  <c:v>7393.917813708963</c:v>
                </c:pt>
                <c:pt idx="18">
                  <c:v>7357.2908406673987</c:v>
                </c:pt>
                <c:pt idx="19">
                  <c:v>7647.6039587440828</c:v>
                </c:pt>
                <c:pt idx="20">
                  <c:v>8103.3994163639754</c:v>
                </c:pt>
                <c:pt idx="21">
                  <c:v>8577.757064655556</c:v>
                </c:pt>
                <c:pt idx="22">
                  <c:v>9308.6743663661055</c:v>
                </c:pt>
                <c:pt idx="23">
                  <c:v>9948.1306763150023</c:v>
                </c:pt>
                <c:pt idx="24">
                  <c:v>10842.490440325824</c:v>
                </c:pt>
                <c:pt idx="25">
                  <c:v>11817.377836046737</c:v>
                </c:pt>
                <c:pt idx="26">
                  <c:v>13010.344558987388</c:v>
                </c:pt>
                <c:pt idx="27">
                  <c:v>14235.380658739985</c:v>
                </c:pt>
                <c:pt idx="28">
                  <c:v>14998.236959472501</c:v>
                </c:pt>
                <c:pt idx="29">
                  <c:v>16173.667866893709</c:v>
                </c:pt>
                <c:pt idx="30">
                  <c:v>17856.277466173135</c:v>
                </c:pt>
                <c:pt idx="31">
                  <c:v>19010.035461702861</c:v>
                </c:pt>
                <c:pt idx="32">
                  <c:v>19554.891389574765</c:v>
                </c:pt>
                <c:pt idx="33">
                  <c:v>20920.210240106706</c:v>
                </c:pt>
                <c:pt idx="34">
                  <c:v>22287.305603897668</c:v>
                </c:pt>
                <c:pt idx="35">
                  <c:v>23049.463357599598</c:v>
                </c:pt>
                <c:pt idx="36">
                  <c:v>23957.950216924539</c:v>
                </c:pt>
                <c:pt idx="37">
                  <c:v>24632.385490456789</c:v>
                </c:pt>
                <c:pt idx="38">
                  <c:v>24821.492768390573</c:v>
                </c:pt>
                <c:pt idx="39">
                  <c:v>25752.437024600109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8-FF4D-881C-E970D33C1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749392"/>
        <c:axId val="7263807"/>
      </c:lineChart>
      <c:catAx>
        <c:axId val="169674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3807"/>
        <c:crosses val="autoZero"/>
        <c:auto val="1"/>
        <c:lblAlgn val="ctr"/>
        <c:lblOffset val="100"/>
        <c:noMultiLvlLbl val="0"/>
      </c:catAx>
      <c:valAx>
        <c:axId val="726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Real GDP per worker(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49392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TFP</a:t>
            </a:r>
            <a:r>
              <a:rPr lang="en-US" baseline="0"/>
              <a:t> index(1980-2019)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013779527559057E-2"/>
          <c:y val="2.5416666666666667E-2"/>
          <c:w val="0.87702777777777774"/>
          <c:h val="0.6150681685622631"/>
        </c:manualLayout>
      </c:layout>
      <c:lineChart>
        <c:grouping val="standard"/>
        <c:varyColors val="0"/>
        <c:ser>
          <c:idx val="0"/>
          <c:order val="0"/>
          <c:tx>
            <c:v>Brazil TFP index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TFP!$A$4:$A$43</c:f>
              <c:numCache>
                <c:formatCode>General</c:formatCod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numCache>
            </c:numRef>
          </c:cat>
          <c:val>
            <c:numRef>
              <c:f>TFP!$B$4:$B$43</c:f>
              <c:numCache>
                <c:formatCode>General</c:formatCode>
                <c:ptCount val="40"/>
                <c:pt idx="0">
                  <c:v>100</c:v>
                </c:pt>
                <c:pt idx="1">
                  <c:v>102.65781076500467</c:v>
                </c:pt>
                <c:pt idx="2">
                  <c:v>102.85129862432383</c:v>
                </c:pt>
                <c:pt idx="3">
                  <c:v>106.79945657316942</c:v>
                </c:pt>
                <c:pt idx="4">
                  <c:v>107.47156285194454</c:v>
                </c:pt>
                <c:pt idx="5">
                  <c:v>109.70331960502817</c:v>
                </c:pt>
                <c:pt idx="6">
                  <c:v>111.24131175240204</c:v>
                </c:pt>
                <c:pt idx="7">
                  <c:v>111.79115217198468</c:v>
                </c:pt>
                <c:pt idx="8">
                  <c:v>118.59563543095754</c:v>
                </c:pt>
                <c:pt idx="9">
                  <c:v>121.52353957841856</c:v>
                </c:pt>
                <c:pt idx="10">
                  <c:v>123.7043307832004</c:v>
                </c:pt>
                <c:pt idx="11">
                  <c:v>121.21588580221139</c:v>
                </c:pt>
                <c:pt idx="12">
                  <c:v>123.7946451797866</c:v>
                </c:pt>
                <c:pt idx="13">
                  <c:v>125.78094332941615</c:v>
                </c:pt>
                <c:pt idx="14">
                  <c:v>131.0913743169526</c:v>
                </c:pt>
                <c:pt idx="15">
                  <c:v>137.86429539230261</c:v>
                </c:pt>
                <c:pt idx="16">
                  <c:v>144.97259313054758</c:v>
                </c:pt>
                <c:pt idx="17">
                  <c:v>147.28981478803425</c:v>
                </c:pt>
                <c:pt idx="18">
                  <c:v>152.52176568735146</c:v>
                </c:pt>
                <c:pt idx="19">
                  <c:v>161.17964421433004</c:v>
                </c:pt>
                <c:pt idx="20">
                  <c:v>162.06735678649272</c:v>
                </c:pt>
                <c:pt idx="21">
                  <c:v>163.42551197252322</c:v>
                </c:pt>
                <c:pt idx="22">
                  <c:v>163.64399549815701</c:v>
                </c:pt>
                <c:pt idx="23">
                  <c:v>170.16369220778168</c:v>
                </c:pt>
                <c:pt idx="24">
                  <c:v>176.64113565406538</c:v>
                </c:pt>
                <c:pt idx="25">
                  <c:v>185.4268518571765</c:v>
                </c:pt>
                <c:pt idx="26">
                  <c:v>195.31833447502055</c:v>
                </c:pt>
                <c:pt idx="27">
                  <c:v>204.27517081323984</c:v>
                </c:pt>
                <c:pt idx="28">
                  <c:v>204.88231219251873</c:v>
                </c:pt>
                <c:pt idx="29">
                  <c:v>214.64082461436641</c:v>
                </c:pt>
                <c:pt idx="30">
                  <c:v>225.5756915672325</c:v>
                </c:pt>
                <c:pt idx="31">
                  <c:v>229.41743769988295</c:v>
                </c:pt>
                <c:pt idx="32">
                  <c:v>236.64821314257568</c:v>
                </c:pt>
                <c:pt idx="33">
                  <c:v>241.63587235783862</c:v>
                </c:pt>
                <c:pt idx="34">
                  <c:v>254.58557228174729</c:v>
                </c:pt>
                <c:pt idx="35">
                  <c:v>269.58845561406139</c:v>
                </c:pt>
                <c:pt idx="36">
                  <c:v>285.88801405096166</c:v>
                </c:pt>
                <c:pt idx="37">
                  <c:v>298.11273416525853</c:v>
                </c:pt>
                <c:pt idx="38">
                  <c:v>308.16736937866182</c:v>
                </c:pt>
                <c:pt idx="39">
                  <c:v>312.75744437739377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D-9D44-B1B7-945487C65BFA}"/>
            </c:ext>
          </c:extLst>
        </c:ser>
        <c:ser>
          <c:idx val="1"/>
          <c:order val="1"/>
          <c:tx>
            <c:strRef>
              <c:f>TFP!$C$1</c:f>
              <c:strCache>
                <c:ptCount val="1"/>
                <c:pt idx="0">
                  <c:v>China TFP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TFP!$A$4:$A$43</c:f>
              <c:numCache>
                <c:formatCode>General</c:formatCod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numCache>
            </c:numRef>
          </c:cat>
          <c:val>
            <c:numRef>
              <c:f>TFP!$C$4:$C$43</c:f>
              <c:numCache>
                <c:formatCode>General</c:formatCode>
                <c:ptCount val="40"/>
                <c:pt idx="0">
                  <c:v>100</c:v>
                </c:pt>
                <c:pt idx="1">
                  <c:v>98.831599238757946</c:v>
                </c:pt>
                <c:pt idx="2">
                  <c:v>101.91586176120349</c:v>
                </c:pt>
                <c:pt idx="3">
                  <c:v>106.01764137836236</c:v>
                </c:pt>
                <c:pt idx="4">
                  <c:v>113.74678896015612</c:v>
                </c:pt>
                <c:pt idx="5">
                  <c:v>118.50078133749416</c:v>
                </c:pt>
                <c:pt idx="6">
                  <c:v>121.8932592377475</c:v>
                </c:pt>
                <c:pt idx="7">
                  <c:v>127.6939115570347</c:v>
                </c:pt>
                <c:pt idx="8">
                  <c:v>129.12992108992805</c:v>
                </c:pt>
                <c:pt idx="9">
                  <c:v>125.38291399141931</c:v>
                </c:pt>
                <c:pt idx="10">
                  <c:v>122.87533093495864</c:v>
                </c:pt>
                <c:pt idx="11">
                  <c:v>125.54498259438753</c:v>
                </c:pt>
                <c:pt idx="12">
                  <c:v>133.08008693616063</c:v>
                </c:pt>
                <c:pt idx="13">
                  <c:v>141.94190059618552</c:v>
                </c:pt>
                <c:pt idx="14">
                  <c:v>149.75295257555169</c:v>
                </c:pt>
                <c:pt idx="15">
                  <c:v>158.11443443645001</c:v>
                </c:pt>
                <c:pt idx="16">
                  <c:v>163.7713851554885</c:v>
                </c:pt>
                <c:pt idx="17">
                  <c:v>168.85853305606719</c:v>
                </c:pt>
                <c:pt idx="18">
                  <c:v>165.92668524605975</c:v>
                </c:pt>
                <c:pt idx="19">
                  <c:v>168.72195685856855</c:v>
                </c:pt>
                <c:pt idx="20">
                  <c:v>174.68481780017015</c:v>
                </c:pt>
                <c:pt idx="21">
                  <c:v>180.14153552891813</c:v>
                </c:pt>
                <c:pt idx="22">
                  <c:v>189.72692375546757</c:v>
                </c:pt>
                <c:pt idx="23">
                  <c:v>197.44457305758655</c:v>
                </c:pt>
                <c:pt idx="24">
                  <c:v>208.35501835172926</c:v>
                </c:pt>
                <c:pt idx="25">
                  <c:v>219.74423884551214</c:v>
                </c:pt>
                <c:pt idx="26">
                  <c:v>234.5523987922422</c:v>
                </c:pt>
                <c:pt idx="27">
                  <c:v>250.70804010983875</c:v>
                </c:pt>
                <c:pt idx="28">
                  <c:v>257.43946011010814</c:v>
                </c:pt>
                <c:pt idx="29">
                  <c:v>267.57078919016539</c:v>
                </c:pt>
                <c:pt idx="30">
                  <c:v>282.48771934208293</c:v>
                </c:pt>
                <c:pt idx="31">
                  <c:v>291.67152548073852</c:v>
                </c:pt>
                <c:pt idx="32">
                  <c:v>292.12207662774961</c:v>
                </c:pt>
                <c:pt idx="33">
                  <c:v>303.08015039325971</c:v>
                </c:pt>
                <c:pt idx="34">
                  <c:v>314.29354202670646</c:v>
                </c:pt>
                <c:pt idx="35">
                  <c:v>318.58780354102151</c:v>
                </c:pt>
                <c:pt idx="36">
                  <c:v>324.86898400945461</c:v>
                </c:pt>
                <c:pt idx="37">
                  <c:v>327.81150540518291</c:v>
                </c:pt>
                <c:pt idx="38">
                  <c:v>324.6095313434368</c:v>
                </c:pt>
                <c:pt idx="39">
                  <c:v>329.64921534683157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D-9D44-B1B7-945487C65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17471"/>
        <c:axId val="1494791088"/>
      </c:lineChart>
      <c:catAx>
        <c:axId val="92317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91088"/>
        <c:crosses val="autoZero"/>
        <c:auto val="1"/>
        <c:lblAlgn val="ctr"/>
        <c:lblOffset val="100"/>
        <c:noMultiLvlLbl val="0"/>
      </c:catAx>
      <c:valAx>
        <c:axId val="149479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TFP</a:t>
                </a:r>
                <a:r>
                  <a:rPr lang="en-US" baseline="0"/>
                  <a:t> index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MPK</a:t>
            </a:r>
            <a:r>
              <a:rPr lang="en-US" baseline="0"/>
              <a:t> 1980-2019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MPK!$B$1</c:f>
              <c:strCache>
                <c:ptCount val="1"/>
                <c:pt idx="0">
                  <c:v>Brazil MPK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MPK!$A$4:$A$43</c:f>
              <c:numCache>
                <c:formatCode>General</c:formatCod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numCache>
            </c:numRef>
          </c:cat>
          <c:val>
            <c:numRef>
              <c:f>MPK!$B$4:$B$43</c:f>
              <c:numCache>
                <c:formatCode>General</c:formatCode>
                <c:ptCount val="40"/>
                <c:pt idx="0">
                  <c:v>7.8991084011506063E-2</c:v>
                </c:pt>
                <c:pt idx="1">
                  <c:v>8.0386280182687384E-2</c:v>
                </c:pt>
                <c:pt idx="2">
                  <c:v>7.975547653800491E-2</c:v>
                </c:pt>
                <c:pt idx="3">
                  <c:v>8.1877562000787329E-2</c:v>
                </c:pt>
                <c:pt idx="4">
                  <c:v>8.1612676673612536E-2</c:v>
                </c:pt>
                <c:pt idx="5">
                  <c:v>8.2510358271037393E-2</c:v>
                </c:pt>
                <c:pt idx="6">
                  <c:v>8.2723422345189368E-2</c:v>
                </c:pt>
                <c:pt idx="7">
                  <c:v>8.1926535138584375E-2</c:v>
                </c:pt>
                <c:pt idx="8">
                  <c:v>8.5794160371762254E-2</c:v>
                </c:pt>
                <c:pt idx="9">
                  <c:v>8.6616415757500814E-2</c:v>
                </c:pt>
                <c:pt idx="10">
                  <c:v>8.6339723771063942E-2</c:v>
                </c:pt>
                <c:pt idx="11">
                  <c:v>8.3609912173351036E-2</c:v>
                </c:pt>
                <c:pt idx="12">
                  <c:v>8.4153735356534032E-2</c:v>
                </c:pt>
                <c:pt idx="13">
                  <c:v>8.4642266137770344E-2</c:v>
                </c:pt>
                <c:pt idx="14">
                  <c:v>8.6633373079283996E-2</c:v>
                </c:pt>
                <c:pt idx="15">
                  <c:v>8.8920579749302092E-2</c:v>
                </c:pt>
                <c:pt idx="16">
                  <c:v>9.1359373763451671E-2</c:v>
                </c:pt>
                <c:pt idx="17">
                  <c:v>9.0598117949252793E-2</c:v>
                </c:pt>
                <c:pt idx="18">
                  <c:v>9.1411184822303718E-2</c:v>
                </c:pt>
                <c:pt idx="19">
                  <c:v>9.3423280831871749E-2</c:v>
                </c:pt>
                <c:pt idx="20">
                  <c:v>9.2067068639453631E-2</c:v>
                </c:pt>
                <c:pt idx="21">
                  <c:v>9.0383232383055567E-2</c:v>
                </c:pt>
                <c:pt idx="22">
                  <c:v>8.8677040468441395E-2</c:v>
                </c:pt>
                <c:pt idx="23">
                  <c:v>9.0399125252234452E-2</c:v>
                </c:pt>
                <c:pt idx="24">
                  <c:v>9.1658331981007979E-2</c:v>
                </c:pt>
                <c:pt idx="25">
                  <c:v>9.2272731952247833E-2</c:v>
                </c:pt>
                <c:pt idx="26">
                  <c:v>9.2487995992731456E-2</c:v>
                </c:pt>
                <c:pt idx="27">
                  <c:v>9.1703698994458405E-2</c:v>
                </c:pt>
                <c:pt idx="28">
                  <c:v>8.7743995799239818E-2</c:v>
                </c:pt>
                <c:pt idx="29">
                  <c:v>8.7781637510693011E-2</c:v>
                </c:pt>
                <c:pt idx="30">
                  <c:v>8.7974361229887124E-2</c:v>
                </c:pt>
                <c:pt idx="31">
                  <c:v>8.5283295667786932E-2</c:v>
                </c:pt>
                <c:pt idx="32">
                  <c:v>8.3320822105584974E-2</c:v>
                </c:pt>
                <c:pt idx="33">
                  <c:v>8.3119706302072938E-2</c:v>
                </c:pt>
                <c:pt idx="34">
                  <c:v>8.399373147621586E-2</c:v>
                </c:pt>
                <c:pt idx="35">
                  <c:v>8.5377046005282078E-2</c:v>
                </c:pt>
                <c:pt idx="36">
                  <c:v>8.6983678305395939E-2</c:v>
                </c:pt>
                <c:pt idx="37">
                  <c:v>8.7577442549948051E-2</c:v>
                </c:pt>
                <c:pt idx="38">
                  <c:v>8.7281179743638637E-2</c:v>
                </c:pt>
                <c:pt idx="39">
                  <c:v>8.6238110213458619E-2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4-5B4D-B514-999329B3D318}"/>
            </c:ext>
          </c:extLst>
        </c:ser>
        <c:ser>
          <c:idx val="1"/>
          <c:order val="1"/>
          <c:tx>
            <c:strRef>
              <c:f>MPK!$C$1</c:f>
              <c:strCache>
                <c:ptCount val="1"/>
                <c:pt idx="0">
                  <c:v>China MPK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MPK!$A$4:$A$43</c:f>
              <c:numCache>
                <c:formatCode>General</c:formatCod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numCache>
            </c:numRef>
          </c:cat>
          <c:val>
            <c:numRef>
              <c:f>MPK!$C$4:$C$43</c:f>
              <c:numCache>
                <c:formatCode>General</c:formatCode>
                <c:ptCount val="40"/>
                <c:pt idx="0">
                  <c:v>0.11204220963414643</c:v>
                </c:pt>
                <c:pt idx="1">
                  <c:v>0.11020799242607911</c:v>
                </c:pt>
                <c:pt idx="2">
                  <c:v>0.11172454363633805</c:v>
                </c:pt>
                <c:pt idx="3">
                  <c:v>0.11510747882064498</c:v>
                </c:pt>
                <c:pt idx="4">
                  <c:v>0.12204888998598273</c:v>
                </c:pt>
                <c:pt idx="5">
                  <c:v>0.12547426693450386</c:v>
                </c:pt>
                <c:pt idx="6">
                  <c:v>0.12548241712300101</c:v>
                </c:pt>
                <c:pt idx="7">
                  <c:v>0.12850631137917137</c:v>
                </c:pt>
                <c:pt idx="8">
                  <c:v>0.12929917855806961</c:v>
                </c:pt>
                <c:pt idx="9">
                  <c:v>0.12652696926152335</c:v>
                </c:pt>
                <c:pt idx="10">
                  <c:v>0.12548794116512429</c:v>
                </c:pt>
                <c:pt idx="11">
                  <c:v>0.12876958735125527</c:v>
                </c:pt>
                <c:pt idx="12">
                  <c:v>0.13494308749099623</c:v>
                </c:pt>
                <c:pt idx="13">
                  <c:v>0.13701540545648416</c:v>
                </c:pt>
                <c:pt idx="14">
                  <c:v>0.13866971931991764</c:v>
                </c:pt>
                <c:pt idx="15">
                  <c:v>0.1384166564196434</c:v>
                </c:pt>
                <c:pt idx="16">
                  <c:v>0.13641375548641749</c:v>
                </c:pt>
                <c:pt idx="17">
                  <c:v>0.13679732296021133</c:v>
                </c:pt>
                <c:pt idx="18">
                  <c:v>0.13109033194167255</c:v>
                </c:pt>
                <c:pt idx="19">
                  <c:v>0.12756215070191124</c:v>
                </c:pt>
                <c:pt idx="20">
                  <c:v>0.12609236554786329</c:v>
                </c:pt>
                <c:pt idx="21">
                  <c:v>0.12341043892313698</c:v>
                </c:pt>
                <c:pt idx="22">
                  <c:v>0.12242469173380967</c:v>
                </c:pt>
                <c:pt idx="23">
                  <c:v>0.12081210214486895</c:v>
                </c:pt>
                <c:pt idx="24">
                  <c:v>0.11951202356325299</c:v>
                </c:pt>
                <c:pt idx="25">
                  <c:v>0.11802338073810961</c:v>
                </c:pt>
                <c:pt idx="26">
                  <c:v>0.11841312435346259</c:v>
                </c:pt>
                <c:pt idx="27">
                  <c:v>0.12078817405474609</c:v>
                </c:pt>
                <c:pt idx="28">
                  <c:v>0.11781558025817454</c:v>
                </c:pt>
                <c:pt idx="29">
                  <c:v>0.11375142819166967</c:v>
                </c:pt>
                <c:pt idx="30">
                  <c:v>0.10981828719660133</c:v>
                </c:pt>
                <c:pt idx="31">
                  <c:v>0.10665323805297799</c:v>
                </c:pt>
                <c:pt idx="32">
                  <c:v>0.10126051264749632</c:v>
                </c:pt>
                <c:pt idx="33">
                  <c:v>9.8809384284038182E-2</c:v>
                </c:pt>
                <c:pt idx="34">
                  <c:v>9.7084307273037684E-2</c:v>
                </c:pt>
                <c:pt idx="35">
                  <c:v>9.4541742045317192E-2</c:v>
                </c:pt>
                <c:pt idx="36">
                  <c:v>9.2786167057208435E-2</c:v>
                </c:pt>
                <c:pt idx="37">
                  <c:v>9.0181495237598913E-2</c:v>
                </c:pt>
                <c:pt idx="38">
                  <c:v>8.6235445279340989E-2</c:v>
                </c:pt>
                <c:pt idx="39">
                  <c:v>8.3902957900576086E-2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44-5B4D-B514-999329B3D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6927"/>
        <c:axId val="6418639"/>
      </c:lineChart>
      <c:catAx>
        <c:axId val="641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639"/>
        <c:crosses val="autoZero"/>
        <c:auto val="1"/>
        <c:lblAlgn val="ctr"/>
        <c:lblOffset val="100"/>
        <c:noMultiLvlLbl val="0"/>
      </c:catAx>
      <c:valAx>
        <c:axId val="64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MPK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927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565150</xdr:colOff>
      <xdr:row>3</xdr:row>
      <xdr:rowOff>38100</xdr:rowOff>
    </xdr:from>
    <xdr:to>
      <xdr:col>13</xdr:col>
      <xdr:colOff>330200</xdr:colOff>
      <xdr:row>21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6CFE7-D434-04EE-3A35-62231DF3F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2</xdr:row>
      <xdr:rowOff>177800</xdr:rowOff>
    </xdr:from>
    <xdr:to>
      <xdr:col>12</xdr:col>
      <xdr:colOff>76200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A91F4-4765-FC2E-41BD-E62D419C6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7</xdr:row>
      <xdr:rowOff>101600</xdr:rowOff>
    </xdr:from>
    <xdr:to>
      <xdr:col>11</xdr:col>
      <xdr:colOff>800100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E3C5A-7DF9-1990-7AAD-CBE242A44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opLeftCell="A3" zoomScale="95" workbookViewId="0">
      <selection activeCell="L10" sqref="L10:O12"/>
    </sheetView>
  </sheetViews>
  <sheetFormatPr baseColWidth="10" defaultColWidth="8.83203125" defaultRowHeight="15" x14ac:dyDescent="0.2"/>
  <cols>
    <col min="4" max="4" width="12" bestFit="1" customWidth="1"/>
    <col min="5" max="5" width="12.33203125" bestFit="1" customWidth="1"/>
    <col min="6" max="6" width="16.33203125" bestFit="1" customWidth="1"/>
    <col min="7" max="7" width="13.1640625" customWidth="1"/>
    <col min="10" max="10" width="15.5" bestFit="1" customWidth="1"/>
    <col min="11" max="11" width="18" bestFit="1" customWidth="1"/>
    <col min="12" max="12" width="18" customWidth="1"/>
    <col min="13" max="13" width="9.6640625" bestFit="1" customWidth="1"/>
    <col min="15" max="15" width="12" bestFit="1" customWidth="1"/>
  </cols>
  <sheetData>
    <row r="1" spans="1:16" x14ac:dyDescent="0.2">
      <c r="A1" s="1"/>
      <c r="B1" s="1"/>
      <c r="C1" s="1"/>
      <c r="D1" s="2" t="s">
        <v>0</v>
      </c>
      <c r="E1" s="2" t="s">
        <v>1</v>
      </c>
      <c r="F1" s="2" t="s">
        <v>2</v>
      </c>
      <c r="G1" s="2" t="s">
        <v>14</v>
      </c>
      <c r="H1" s="2" t="s">
        <v>18</v>
      </c>
      <c r="I1" s="2" t="s">
        <v>19</v>
      </c>
      <c r="J1" s="2" t="s">
        <v>23</v>
      </c>
      <c r="K1" s="2" t="s">
        <v>31</v>
      </c>
      <c r="L1" s="1" t="s">
        <v>10</v>
      </c>
    </row>
    <row r="2" spans="1:16" x14ac:dyDescent="0.2">
      <c r="A2" s="1" t="s">
        <v>3</v>
      </c>
      <c r="B2" s="1" t="s">
        <v>4</v>
      </c>
      <c r="C2" s="1"/>
      <c r="D2" s="2" t="s">
        <v>5</v>
      </c>
      <c r="E2" s="2" t="s">
        <v>6</v>
      </c>
      <c r="F2" s="2" t="s">
        <v>7</v>
      </c>
      <c r="G2" s="2" t="s">
        <v>17</v>
      </c>
      <c r="H2" s="2"/>
      <c r="I2" s="2"/>
      <c r="J2" s="2"/>
      <c r="K2" s="2"/>
      <c r="L2" s="6" t="s">
        <v>12</v>
      </c>
      <c r="M2" s="2"/>
    </row>
    <row r="3" spans="1:16" ht="16" x14ac:dyDescent="0.25">
      <c r="A3" t="s">
        <v>13</v>
      </c>
      <c r="B3">
        <v>1979</v>
      </c>
      <c r="D3">
        <v>862817.0625</v>
      </c>
      <c r="E3">
        <v>256.839111328125</v>
      </c>
      <c r="F3">
        <v>3714750.25</v>
      </c>
      <c r="G3">
        <f>D3/E3</f>
        <v>3359.3678861382891</v>
      </c>
      <c r="H3">
        <f>D3/(F3^(1/3)*E3^(2/3))</f>
        <v>137.88004365899155</v>
      </c>
      <c r="I3" s="8">
        <f>H3/$H$4*100</f>
        <v>97.041826096996274</v>
      </c>
      <c r="J3">
        <f>(1/3)*(D3/F3)</f>
        <v>7.7422617442451214E-2</v>
      </c>
      <c r="K3">
        <f>F3/E3</f>
        <v>14463.335551937096</v>
      </c>
      <c r="L3" s="1" t="s">
        <v>9</v>
      </c>
    </row>
    <row r="4" spans="1:16" ht="16" x14ac:dyDescent="0.25">
      <c r="A4" t="s">
        <v>13</v>
      </c>
      <c r="B4">
        <v>1980</v>
      </c>
      <c r="D4">
        <v>920934.8125</v>
      </c>
      <c r="E4">
        <v>264.7066650390625</v>
      </c>
      <c r="F4">
        <v>3886239.5</v>
      </c>
      <c r="G4">
        <f t="shared" ref="G4:G43" si="0">D4/E4</f>
        <v>3479.0767824606855</v>
      </c>
      <c r="H4">
        <f>D4/(F4^(1/3)*E4^(2/3))</f>
        <v>142.08310911335926</v>
      </c>
      <c r="I4" s="8">
        <f>H4/$H$4*100</f>
        <v>100</v>
      </c>
      <c r="J4">
        <f t="shared" ref="J4:J67" si="1">(1/3)*(D4/F4)</f>
        <v>7.8991084011506063E-2</v>
      </c>
      <c r="K4">
        <f t="shared" ref="K4:K67" si="2">F4/E4</f>
        <v>14681.305812328192</v>
      </c>
      <c r="L4" s="1" t="s">
        <v>11</v>
      </c>
    </row>
    <row r="5" spans="1:16" ht="16" x14ac:dyDescent="0.25">
      <c r="A5" t="s">
        <v>13</v>
      </c>
      <c r="B5">
        <v>1981</v>
      </c>
      <c r="D5">
        <v>976248.125</v>
      </c>
      <c r="E5">
        <v>272.151123046875</v>
      </c>
      <c r="F5">
        <v>4048154</v>
      </c>
      <c r="G5">
        <f t="shared" si="0"/>
        <v>3587.1544973630412</v>
      </c>
      <c r="H5">
        <f t="shared" ref="H5:H43" si="3">D5/(F5^(1/3)*E5^(2/3))</f>
        <v>145.85940928262744</v>
      </c>
      <c r="I5" s="8">
        <f t="shared" ref="I5:I43" si="4">H5/$H$4*100</f>
        <v>102.65781076500467</v>
      </c>
      <c r="J5">
        <f t="shared" si="1"/>
        <v>8.0386280182687384E-2</v>
      </c>
      <c r="K5">
        <f t="shared" si="2"/>
        <v>14874.65476783188</v>
      </c>
    </row>
    <row r="6" spans="1:16" ht="16" x14ac:dyDescent="0.25">
      <c r="A6" t="s">
        <v>13</v>
      </c>
      <c r="B6">
        <v>1982</v>
      </c>
      <c r="D6">
        <v>1010179.875</v>
      </c>
      <c r="E6">
        <v>279.71209716796875</v>
      </c>
      <c r="F6">
        <v>4221987.5</v>
      </c>
      <c r="G6">
        <f t="shared" si="0"/>
        <v>3611.4986989403646</v>
      </c>
      <c r="H6">
        <f t="shared" si="3"/>
        <v>146.13432284890499</v>
      </c>
      <c r="I6" s="8">
        <f t="shared" si="4"/>
        <v>102.85129862432383</v>
      </c>
      <c r="J6">
        <f t="shared" si="1"/>
        <v>7.975547653800491E-2</v>
      </c>
      <c r="K6">
        <f t="shared" si="2"/>
        <v>15094.046852984953</v>
      </c>
      <c r="M6" t="s">
        <v>28</v>
      </c>
      <c r="N6" t="s">
        <v>29</v>
      </c>
      <c r="O6" t="s">
        <v>30</v>
      </c>
    </row>
    <row r="7" spans="1:16" ht="16" x14ac:dyDescent="0.25">
      <c r="A7" t="s">
        <v>13</v>
      </c>
      <c r="B7">
        <v>1983</v>
      </c>
      <c r="D7">
        <v>1083810.75</v>
      </c>
      <c r="E7">
        <v>287.36196899414062</v>
      </c>
      <c r="F7">
        <v>4412323</v>
      </c>
      <c r="G7">
        <f t="shared" si="0"/>
        <v>3771.5872903908839</v>
      </c>
      <c r="H7">
        <f t="shared" si="3"/>
        <v>151.74398841533105</v>
      </c>
      <c r="I7" s="8">
        <f t="shared" si="4"/>
        <v>106.79945657316942</v>
      </c>
      <c r="J7">
        <f t="shared" si="1"/>
        <v>8.1877562000787329E-2</v>
      </c>
      <c r="K7">
        <f t="shared" si="2"/>
        <v>15354.582290219372</v>
      </c>
      <c r="L7">
        <v>1980</v>
      </c>
      <c r="M7">
        <f>G4</f>
        <v>3479.0767824606855</v>
      </c>
      <c r="O7">
        <f>I4</f>
        <v>100</v>
      </c>
    </row>
    <row r="8" spans="1:16" ht="16" x14ac:dyDescent="0.25">
      <c r="A8" t="s">
        <v>13</v>
      </c>
      <c r="B8">
        <v>1984</v>
      </c>
      <c r="D8">
        <v>1125220.375</v>
      </c>
      <c r="E8">
        <v>295.068603515625</v>
      </c>
      <c r="F8">
        <v>4595774.5</v>
      </c>
      <c r="G8">
        <f t="shared" si="0"/>
        <v>3813.4195288602277</v>
      </c>
      <c r="H8">
        <f t="shared" si="3"/>
        <v>152.69893791276084</v>
      </c>
      <c r="I8" s="8">
        <f t="shared" si="4"/>
        <v>107.47156285194454</v>
      </c>
      <c r="J8">
        <f t="shared" si="1"/>
        <v>8.1612676673612536E-2</v>
      </c>
      <c r="K8">
        <f t="shared" si="2"/>
        <v>15575.274513259546</v>
      </c>
      <c r="L8">
        <v>1995</v>
      </c>
      <c r="M8">
        <f>G19</f>
        <v>5307.9841339667591</v>
      </c>
      <c r="O8">
        <f>I19</f>
        <v>137.86429539230261</v>
      </c>
    </row>
    <row r="9" spans="1:16" ht="16" x14ac:dyDescent="0.25">
      <c r="A9" t="s">
        <v>13</v>
      </c>
      <c r="B9">
        <v>1985</v>
      </c>
      <c r="D9">
        <v>1184342.75</v>
      </c>
      <c r="E9">
        <v>302.795166015625</v>
      </c>
      <c r="F9">
        <v>4784622.5</v>
      </c>
      <c r="G9">
        <f t="shared" si="0"/>
        <v>3911.3661079347776</v>
      </c>
      <c r="H9">
        <f t="shared" si="3"/>
        <v>155.86988729538942</v>
      </c>
      <c r="I9" s="8">
        <f t="shared" si="4"/>
        <v>109.70331960502817</v>
      </c>
      <c r="J9">
        <f t="shared" si="1"/>
        <v>8.2510358271037393E-2</v>
      </c>
      <c r="K9">
        <f t="shared" si="2"/>
        <v>15801.51546987742</v>
      </c>
      <c r="L9">
        <v>2019</v>
      </c>
      <c r="M9">
        <f>G43</f>
        <v>18416.831668984032</v>
      </c>
      <c r="O9" s="9">
        <f>I43</f>
        <v>312.75744437739377</v>
      </c>
    </row>
    <row r="10" spans="1:16" ht="16" x14ac:dyDescent="0.25">
      <c r="A10" t="s">
        <v>13</v>
      </c>
      <c r="B10">
        <v>1986</v>
      </c>
      <c r="D10">
        <v>1240913.75</v>
      </c>
      <c r="E10">
        <v>311.10260009765625</v>
      </c>
      <c r="F10">
        <v>5000251.5</v>
      </c>
      <c r="G10">
        <f t="shared" si="0"/>
        <v>3988.7604591233653</v>
      </c>
      <c r="H10">
        <f t="shared" si="3"/>
        <v>158.05511435629754</v>
      </c>
      <c r="I10" s="8">
        <f t="shared" si="4"/>
        <v>111.24131175240204</v>
      </c>
      <c r="J10">
        <f t="shared" si="1"/>
        <v>8.2723422345189368E-2</v>
      </c>
      <c r="K10">
        <f t="shared" si="2"/>
        <v>16072.676661752112</v>
      </c>
      <c r="L10" t="s">
        <v>13</v>
      </c>
      <c r="M10" s="1"/>
      <c r="N10" s="1"/>
      <c r="O10" s="1"/>
      <c r="P10" s="1"/>
    </row>
    <row r="11" spans="1:16" ht="16" x14ac:dyDescent="0.25">
      <c r="A11" t="s">
        <v>13</v>
      </c>
      <c r="B11">
        <v>1987</v>
      </c>
      <c r="D11">
        <v>1290120.375</v>
      </c>
      <c r="E11">
        <v>319.5054931640625</v>
      </c>
      <c r="F11">
        <v>5249094.5</v>
      </c>
      <c r="G11">
        <f t="shared" si="0"/>
        <v>4037.866022971748</v>
      </c>
      <c r="H11">
        <f t="shared" si="3"/>
        <v>158.83634471960247</v>
      </c>
      <c r="I11" s="8">
        <f t="shared" si="4"/>
        <v>111.79115217198468</v>
      </c>
      <c r="J11">
        <f t="shared" si="1"/>
        <v>8.1926535138584375E-2</v>
      </c>
      <c r="K11">
        <f t="shared" si="2"/>
        <v>16428.808306293027</v>
      </c>
      <c r="L11" t="s">
        <v>26</v>
      </c>
      <c r="M11">
        <f>100*(LN(M8)-LN(M7))/15</f>
        <v>2.8163010746157249</v>
      </c>
      <c r="N11" s="5">
        <f>100*(1/3)*(LN(K19)-LN(K4))/15</f>
        <v>0.67563675045304206</v>
      </c>
      <c r="O11" s="5">
        <f>100*(LN(O8)-LN(O7))/15</f>
        <v>2.1406643241626893</v>
      </c>
      <c r="P11" s="5"/>
    </row>
    <row r="12" spans="1:16" ht="16" x14ac:dyDescent="0.25">
      <c r="A12" t="s">
        <v>13</v>
      </c>
      <c r="B12">
        <v>1988</v>
      </c>
      <c r="D12">
        <v>1414330.375</v>
      </c>
      <c r="E12">
        <v>328.03759765625</v>
      </c>
      <c r="F12">
        <v>5495053</v>
      </c>
      <c r="G12">
        <f t="shared" si="0"/>
        <v>4311.4886375984079</v>
      </c>
      <c r="H12">
        <f t="shared" si="3"/>
        <v>168.50436609304916</v>
      </c>
      <c r="I12" s="8">
        <f t="shared" si="4"/>
        <v>118.59563543095754</v>
      </c>
      <c r="J12">
        <f t="shared" si="1"/>
        <v>8.5794160371762254E-2</v>
      </c>
      <c r="K12">
        <f t="shared" si="2"/>
        <v>16751.290215697336</v>
      </c>
      <c r="L12" t="s">
        <v>27</v>
      </c>
      <c r="M12">
        <f>100*(LN(M9)-LN(M8))/24</f>
        <v>5.1835536821055461</v>
      </c>
      <c r="N12" s="5">
        <f>100*(1/3)*(LN(K43)-LN(K19))/24</f>
        <v>1.7703948595366821</v>
      </c>
      <c r="O12" s="5">
        <f>100*(LN(O9)-LN(O8))/24</f>
        <v>3.4131588225688625</v>
      </c>
      <c r="P12" s="5"/>
    </row>
    <row r="13" spans="1:16" ht="16" x14ac:dyDescent="0.25">
      <c r="A13" t="s">
        <v>13</v>
      </c>
      <c r="B13">
        <v>1989</v>
      </c>
      <c r="D13">
        <v>1498445.5</v>
      </c>
      <c r="E13">
        <v>336.66455078125</v>
      </c>
      <c r="F13">
        <v>5766595.5</v>
      </c>
      <c r="G13">
        <f t="shared" si="0"/>
        <v>4450.8561905991246</v>
      </c>
      <c r="H13">
        <f t="shared" si="3"/>
        <v>172.66442333762078</v>
      </c>
      <c r="I13" s="8">
        <f t="shared" si="4"/>
        <v>121.52353957841856</v>
      </c>
      <c r="J13">
        <f t="shared" si="1"/>
        <v>8.6616415757500814E-2</v>
      </c>
      <c r="K13">
        <f t="shared" si="2"/>
        <v>17128.609135171118</v>
      </c>
    </row>
    <row r="14" spans="1:16" ht="16" x14ac:dyDescent="0.25">
      <c r="A14" t="s">
        <v>13</v>
      </c>
      <c r="B14">
        <v>1990</v>
      </c>
      <c r="D14">
        <v>1581361.125</v>
      </c>
      <c r="E14">
        <v>345.38699340820312</v>
      </c>
      <c r="F14">
        <v>6105189.5</v>
      </c>
      <c r="G14">
        <f t="shared" si="0"/>
        <v>4578.5196176482359</v>
      </c>
      <c r="H14">
        <f t="shared" si="3"/>
        <v>175.76295928464549</v>
      </c>
      <c r="I14" s="8">
        <f t="shared" si="4"/>
        <v>123.7043307832004</v>
      </c>
      <c r="J14">
        <f t="shared" si="1"/>
        <v>8.6339723771063942E-2</v>
      </c>
      <c r="K14">
        <f t="shared" si="2"/>
        <v>17676.373507164612</v>
      </c>
    </row>
    <row r="15" spans="1:16" ht="16" x14ac:dyDescent="0.25">
      <c r="A15" t="s">
        <v>13</v>
      </c>
      <c r="B15">
        <v>1991</v>
      </c>
      <c r="D15">
        <v>1598073.625</v>
      </c>
      <c r="E15">
        <v>354.10601806640625</v>
      </c>
      <c r="F15">
        <v>6371149</v>
      </c>
      <c r="G15">
        <f t="shared" si="0"/>
        <v>4512.9806991879759</v>
      </c>
      <c r="H15">
        <f t="shared" si="3"/>
        <v>172.22729928708097</v>
      </c>
      <c r="I15" s="8">
        <f t="shared" si="4"/>
        <v>121.21588580221139</v>
      </c>
      <c r="J15">
        <f t="shared" si="1"/>
        <v>8.3609912173351036E-2</v>
      </c>
      <c r="K15">
        <f t="shared" si="2"/>
        <v>17992.207629764725</v>
      </c>
    </row>
    <row r="16" spans="1:16" ht="16" x14ac:dyDescent="0.25">
      <c r="A16" t="s">
        <v>13</v>
      </c>
      <c r="B16">
        <v>1992</v>
      </c>
      <c r="D16">
        <v>1685686.25</v>
      </c>
      <c r="E16">
        <v>363.08441162109375</v>
      </c>
      <c r="F16">
        <v>6677011</v>
      </c>
      <c r="G16">
        <f t="shared" si="0"/>
        <v>4642.6841694298409</v>
      </c>
      <c r="H16">
        <f t="shared" si="3"/>
        <v>175.89128078729212</v>
      </c>
      <c r="I16" s="8">
        <f t="shared" si="4"/>
        <v>123.7946451797866</v>
      </c>
      <c r="J16">
        <f t="shared" si="1"/>
        <v>8.4153735356534032E-2</v>
      </c>
      <c r="K16">
        <f t="shared" si="2"/>
        <v>18389.693377880321</v>
      </c>
    </row>
    <row r="17" spans="1:11" ht="16" x14ac:dyDescent="0.25">
      <c r="A17" t="s">
        <v>13</v>
      </c>
      <c r="B17">
        <v>1993</v>
      </c>
      <c r="D17">
        <v>1765769.375</v>
      </c>
      <c r="E17">
        <v>372.43655395507812</v>
      </c>
      <c r="F17">
        <v>6953852</v>
      </c>
      <c r="G17">
        <f t="shared" si="0"/>
        <v>4741.1280022019009</v>
      </c>
      <c r="H17">
        <f t="shared" si="3"/>
        <v>178.71347495454691</v>
      </c>
      <c r="I17" s="8">
        <f t="shared" si="4"/>
        <v>125.78094332941615</v>
      </c>
      <c r="J17">
        <f t="shared" si="1"/>
        <v>8.4642266137770344E-2</v>
      </c>
      <c r="K17">
        <f t="shared" si="2"/>
        <v>18671.239238344868</v>
      </c>
    </row>
    <row r="18" spans="1:11" ht="16" x14ac:dyDescent="0.25">
      <c r="A18" t="s">
        <v>13</v>
      </c>
      <c r="B18">
        <v>1994</v>
      </c>
      <c r="D18">
        <v>1883350.75</v>
      </c>
      <c r="E18">
        <v>377.71096801757812</v>
      </c>
      <c r="F18">
        <v>7246440.5</v>
      </c>
      <c r="G18">
        <f t="shared" si="0"/>
        <v>4986.2220307892976</v>
      </c>
      <c r="H18">
        <f t="shared" si="3"/>
        <v>186.25870040895796</v>
      </c>
      <c r="I18" s="8">
        <f t="shared" si="4"/>
        <v>131.0913743169526</v>
      </c>
      <c r="J18">
        <f t="shared" si="1"/>
        <v>8.6633373079283996E-2</v>
      </c>
      <c r="K18">
        <f t="shared" si="2"/>
        <v>19185.147145800544</v>
      </c>
    </row>
    <row r="19" spans="1:11" ht="16" x14ac:dyDescent="0.25">
      <c r="A19" t="s">
        <v>13</v>
      </c>
      <c r="B19">
        <v>1995</v>
      </c>
      <c r="D19">
        <v>2026005.125</v>
      </c>
      <c r="E19">
        <v>381.69012451171875</v>
      </c>
      <c r="F19">
        <v>7594811.5</v>
      </c>
      <c r="G19">
        <f t="shared" si="0"/>
        <v>5307.9841339667591</v>
      </c>
      <c r="H19">
        <f t="shared" si="3"/>
        <v>195.88187725060922</v>
      </c>
      <c r="I19" s="8">
        <f t="shared" si="4"/>
        <v>137.86429539230261</v>
      </c>
      <c r="J19">
        <f t="shared" si="1"/>
        <v>8.8920579749302092E-2</v>
      </c>
      <c r="K19">
        <f t="shared" si="2"/>
        <v>19897.846478778421</v>
      </c>
    </row>
    <row r="20" spans="1:11" ht="16" x14ac:dyDescent="0.25">
      <c r="A20" t="s">
        <v>13</v>
      </c>
      <c r="B20">
        <v>1996</v>
      </c>
      <c r="D20">
        <v>2178958.75</v>
      </c>
      <c r="E20">
        <v>385.87234497070312</v>
      </c>
      <c r="F20">
        <v>7950137.5</v>
      </c>
      <c r="G20">
        <f t="shared" si="0"/>
        <v>5646.8383350080057</v>
      </c>
      <c r="H20">
        <f t="shared" si="3"/>
        <v>205.98156768214227</v>
      </c>
      <c r="I20" s="8">
        <f t="shared" si="4"/>
        <v>144.97259313054758</v>
      </c>
      <c r="J20">
        <f t="shared" si="1"/>
        <v>9.1359373763451671E-2</v>
      </c>
      <c r="K20">
        <f t="shared" si="2"/>
        <v>20603.024817970836</v>
      </c>
    </row>
    <row r="21" spans="1:11" ht="16" x14ac:dyDescent="0.25">
      <c r="A21" t="s">
        <v>13</v>
      </c>
      <c r="B21">
        <v>1997</v>
      </c>
      <c r="D21">
        <v>2267202.5</v>
      </c>
      <c r="E21">
        <v>390.42514038085938</v>
      </c>
      <c r="F21">
        <v>8341610</v>
      </c>
      <c r="G21">
        <f t="shared" si="0"/>
        <v>5807.0095019709697</v>
      </c>
      <c r="H21">
        <f t="shared" si="3"/>
        <v>209.27394825814747</v>
      </c>
      <c r="I21" s="8">
        <f t="shared" si="4"/>
        <v>147.28981478803425</v>
      </c>
      <c r="J21">
        <f t="shared" si="1"/>
        <v>9.0598117949252793E-2</v>
      </c>
      <c r="K21">
        <f t="shared" si="2"/>
        <v>21365.453033743594</v>
      </c>
    </row>
    <row r="22" spans="1:11" ht="16" x14ac:dyDescent="0.25">
      <c r="A22" t="s">
        <v>13</v>
      </c>
      <c r="B22">
        <v>1998</v>
      </c>
      <c r="D22">
        <v>2407415.75</v>
      </c>
      <c r="E22">
        <v>395.1845703125</v>
      </c>
      <c r="F22">
        <v>8778706</v>
      </c>
      <c r="G22">
        <f t="shared" si="0"/>
        <v>6091.8768870360718</v>
      </c>
      <c r="H22">
        <f t="shared" si="3"/>
        <v>216.70766676318172</v>
      </c>
      <c r="I22" s="8">
        <f t="shared" si="4"/>
        <v>152.52176568735146</v>
      </c>
      <c r="J22">
        <f t="shared" si="1"/>
        <v>9.1411184822303718E-2</v>
      </c>
      <c r="K22">
        <f t="shared" si="2"/>
        <v>22214.192201527669</v>
      </c>
    </row>
    <row r="23" spans="1:11" ht="16" x14ac:dyDescent="0.25">
      <c r="A23" t="s">
        <v>13</v>
      </c>
      <c r="B23">
        <v>1999</v>
      </c>
      <c r="D23">
        <v>2620370</v>
      </c>
      <c r="E23">
        <v>400.28732299804688</v>
      </c>
      <c r="F23">
        <v>9349454</v>
      </c>
      <c r="G23">
        <f t="shared" si="0"/>
        <v>6546.2227990987003</v>
      </c>
      <c r="H23">
        <f t="shared" si="3"/>
        <v>229.00904975757081</v>
      </c>
      <c r="I23" s="8">
        <f t="shared" si="4"/>
        <v>161.17964421433004</v>
      </c>
      <c r="J23">
        <f t="shared" si="1"/>
        <v>9.3423280831871749E-2</v>
      </c>
      <c r="K23">
        <f t="shared" si="2"/>
        <v>23356.857594127752</v>
      </c>
    </row>
    <row r="24" spans="1:11" ht="16" x14ac:dyDescent="0.25">
      <c r="A24" t="s">
        <v>13</v>
      </c>
      <c r="B24">
        <v>2000</v>
      </c>
      <c r="D24">
        <v>2721018</v>
      </c>
      <c r="E24">
        <v>409.24859619140625</v>
      </c>
      <c r="F24">
        <v>9851579</v>
      </c>
      <c r="G24">
        <f t="shared" si="0"/>
        <v>6648.8144988709391</v>
      </c>
      <c r="H24">
        <f t="shared" si="3"/>
        <v>230.27033938008972</v>
      </c>
      <c r="I24" s="8">
        <f t="shared" si="4"/>
        <v>162.06735678649272</v>
      </c>
      <c r="J24">
        <f t="shared" si="1"/>
        <v>9.2067068639453631E-2</v>
      </c>
      <c r="K24">
        <f t="shared" si="2"/>
        <v>24072.358687804513</v>
      </c>
    </row>
    <row r="25" spans="1:11" ht="16" x14ac:dyDescent="0.25">
      <c r="A25" t="s">
        <v>13</v>
      </c>
      <c r="B25">
        <v>2001</v>
      </c>
      <c r="D25">
        <v>2852279.25</v>
      </c>
      <c r="E25">
        <v>419.76202392578125</v>
      </c>
      <c r="F25">
        <v>10519205</v>
      </c>
      <c r="G25">
        <f t="shared" si="0"/>
        <v>6794.9911793457422</v>
      </c>
      <c r="H25">
        <f t="shared" si="3"/>
        <v>232.20004849498616</v>
      </c>
      <c r="I25" s="8">
        <f t="shared" si="4"/>
        <v>163.42551197252322</v>
      </c>
      <c r="J25">
        <f t="shared" si="1"/>
        <v>9.0383232383055567E-2</v>
      </c>
      <c r="K25">
        <f t="shared" si="2"/>
        <v>25059.925387294959</v>
      </c>
    </row>
    <row r="26" spans="1:11" ht="16" x14ac:dyDescent="0.25">
      <c r="A26" t="s">
        <v>13</v>
      </c>
      <c r="B26">
        <v>2002</v>
      </c>
      <c r="D26">
        <v>2960779</v>
      </c>
      <c r="E26">
        <v>430.7332763671875</v>
      </c>
      <c r="F26">
        <v>11129446</v>
      </c>
      <c r="G26">
        <f t="shared" si="0"/>
        <v>6873.8106908555228</v>
      </c>
      <c r="H26">
        <f t="shared" si="3"/>
        <v>232.51047668110715</v>
      </c>
      <c r="I26" s="8">
        <f t="shared" si="4"/>
        <v>163.64399549815701</v>
      </c>
      <c r="J26">
        <f t="shared" si="1"/>
        <v>8.8677040468441395E-2</v>
      </c>
      <c r="K26">
        <f t="shared" si="2"/>
        <v>25838.370543056146</v>
      </c>
    </row>
    <row r="27" spans="1:11" ht="16" x14ac:dyDescent="0.25">
      <c r="A27" t="s">
        <v>13</v>
      </c>
      <c r="B27">
        <v>2003</v>
      </c>
      <c r="D27">
        <v>3193507.75</v>
      </c>
      <c r="E27">
        <v>442.3812255859375</v>
      </c>
      <c r="F27">
        <v>11775585</v>
      </c>
      <c r="G27">
        <f t="shared" si="0"/>
        <v>7218.9043415442711</v>
      </c>
      <c r="H27">
        <f t="shared" si="3"/>
        <v>241.77386447090325</v>
      </c>
      <c r="I27" s="8">
        <f t="shared" si="4"/>
        <v>170.16369220778168</v>
      </c>
      <c r="J27">
        <f t="shared" si="1"/>
        <v>9.0399125252234452E-2</v>
      </c>
      <c r="K27">
        <f t="shared" si="2"/>
        <v>26618.636413430842</v>
      </c>
    </row>
    <row r="28" spans="1:11" ht="16" x14ac:dyDescent="0.25">
      <c r="A28" t="s">
        <v>13</v>
      </c>
      <c r="B28">
        <v>2004</v>
      </c>
      <c r="D28">
        <v>3446527.25</v>
      </c>
      <c r="E28">
        <v>454.54498291015625</v>
      </c>
      <c r="F28">
        <v>12533966</v>
      </c>
      <c r="G28">
        <f t="shared" si="0"/>
        <v>7582.367817447076</v>
      </c>
      <c r="H28">
        <f t="shared" si="3"/>
        <v>250.97721751044267</v>
      </c>
      <c r="I28" s="8">
        <f t="shared" si="4"/>
        <v>176.64113565406538</v>
      </c>
      <c r="J28">
        <f t="shared" si="1"/>
        <v>9.1658331981007979E-2</v>
      </c>
      <c r="K28">
        <f t="shared" si="2"/>
        <v>27574.753811499926</v>
      </c>
    </row>
    <row r="29" spans="1:11" ht="16" x14ac:dyDescent="0.25">
      <c r="A29" t="s">
        <v>13</v>
      </c>
      <c r="B29">
        <v>2005</v>
      </c>
      <c r="D29">
        <v>3719610.25</v>
      </c>
      <c r="E29">
        <v>457.6380615234375</v>
      </c>
      <c r="F29">
        <v>13437015</v>
      </c>
      <c r="G29">
        <f t="shared" si="0"/>
        <v>8127.8428582136276</v>
      </c>
      <c r="H29">
        <f t="shared" si="3"/>
        <v>263.46023624969911</v>
      </c>
      <c r="I29" s="8">
        <f t="shared" si="4"/>
        <v>185.4268518571765</v>
      </c>
      <c r="J29">
        <f t="shared" si="1"/>
        <v>9.2272731952247833E-2</v>
      </c>
      <c r="K29">
        <f t="shared" si="2"/>
        <v>29361.664008603962</v>
      </c>
    </row>
    <row r="30" spans="1:11" ht="16" x14ac:dyDescent="0.25">
      <c r="A30" t="s">
        <v>13</v>
      </c>
      <c r="B30">
        <v>2006</v>
      </c>
      <c r="D30">
        <v>4019438.5</v>
      </c>
      <c r="E30">
        <v>457.97366333007812</v>
      </c>
      <c r="F30">
        <v>14486343</v>
      </c>
      <c r="G30">
        <f t="shared" si="0"/>
        <v>8776.5712787354023</v>
      </c>
      <c r="H30">
        <f t="shared" si="3"/>
        <v>277.51436229053945</v>
      </c>
      <c r="I30" s="8">
        <f t="shared" si="4"/>
        <v>195.31833447502055</v>
      </c>
      <c r="J30">
        <f t="shared" si="1"/>
        <v>9.2487995992731456E-2</v>
      </c>
      <c r="K30">
        <f t="shared" si="2"/>
        <v>31631.388789182776</v>
      </c>
    </row>
    <row r="31" spans="1:11" ht="16" x14ac:dyDescent="0.25">
      <c r="A31" t="s">
        <v>13</v>
      </c>
      <c r="B31">
        <v>2007</v>
      </c>
      <c r="D31">
        <v>4327360</v>
      </c>
      <c r="E31">
        <v>459.02890014648438</v>
      </c>
      <c r="F31">
        <v>15729500</v>
      </c>
      <c r="G31">
        <f t="shared" si="0"/>
        <v>9427.2059964395739</v>
      </c>
      <c r="H31">
        <f t="shared" si="3"/>
        <v>290.24051383807659</v>
      </c>
      <c r="I31" s="8">
        <f t="shared" si="4"/>
        <v>204.27517081323984</v>
      </c>
      <c r="J31">
        <f t="shared" si="1"/>
        <v>9.1703698994458405E-2</v>
      </c>
      <c r="K31">
        <f t="shared" si="2"/>
        <v>34266.905623982355</v>
      </c>
    </row>
    <row r="32" spans="1:11" ht="16" x14ac:dyDescent="0.25">
      <c r="A32" t="s">
        <v>13</v>
      </c>
      <c r="B32">
        <v>2008</v>
      </c>
      <c r="D32">
        <v>4460933</v>
      </c>
      <c r="E32">
        <v>460.81292724609375</v>
      </c>
      <c r="F32">
        <v>16946774</v>
      </c>
      <c r="G32">
        <f t="shared" si="0"/>
        <v>9680.5726060234228</v>
      </c>
      <c r="H32">
        <f t="shared" si="3"/>
        <v>291.10315918646972</v>
      </c>
      <c r="I32" s="8">
        <f t="shared" si="4"/>
        <v>204.88231219251873</v>
      </c>
      <c r="J32">
        <f t="shared" si="1"/>
        <v>8.7743995799239818E-2</v>
      </c>
      <c r="K32">
        <f t="shared" si="2"/>
        <v>36775.82159267355</v>
      </c>
    </row>
    <row r="33" spans="1:15" ht="16" x14ac:dyDescent="0.25">
      <c r="A33" t="s">
        <v>13</v>
      </c>
      <c r="B33">
        <v>2009</v>
      </c>
      <c r="D33">
        <v>4811646</v>
      </c>
      <c r="E33">
        <v>463.63259887695312</v>
      </c>
      <c r="F33">
        <v>18271270</v>
      </c>
      <c r="G33">
        <f t="shared" si="0"/>
        <v>10378.144271250861</v>
      </c>
      <c r="H33">
        <f t="shared" si="3"/>
        <v>304.96835703864429</v>
      </c>
      <c r="I33" s="8">
        <f t="shared" si="4"/>
        <v>214.64082461436641</v>
      </c>
      <c r="J33">
        <f t="shared" si="1"/>
        <v>8.7781637510693011E-2</v>
      </c>
      <c r="K33">
        <f t="shared" si="2"/>
        <v>39408.941571964715</v>
      </c>
    </row>
    <row r="34" spans="1:15" ht="16" x14ac:dyDescent="0.25">
      <c r="A34" t="s">
        <v>13</v>
      </c>
      <c r="B34">
        <v>2010</v>
      </c>
      <c r="D34">
        <v>5220520</v>
      </c>
      <c r="E34">
        <v>467.41250610351562</v>
      </c>
      <c r="F34">
        <v>19780460</v>
      </c>
      <c r="G34">
        <f t="shared" si="0"/>
        <v>11168.97800514528</v>
      </c>
      <c r="H34">
        <f t="shared" si="3"/>
        <v>320.50495598268566</v>
      </c>
      <c r="I34" s="8">
        <f t="shared" si="4"/>
        <v>225.5756915672325</v>
      </c>
      <c r="J34">
        <f t="shared" si="1"/>
        <v>8.7974361229887124E-2</v>
      </c>
      <c r="K34">
        <f t="shared" si="2"/>
        <v>42319.064513047742</v>
      </c>
    </row>
    <row r="35" spans="1:15" ht="16" x14ac:dyDescent="0.25">
      <c r="A35" t="s">
        <v>13</v>
      </c>
      <c r="B35">
        <v>2011</v>
      </c>
      <c r="D35">
        <v>5494143.5</v>
      </c>
      <c r="E35">
        <v>472.2144775390625</v>
      </c>
      <c r="F35">
        <v>21474090</v>
      </c>
      <c r="G35">
        <f t="shared" si="0"/>
        <v>11634.847640912309</v>
      </c>
      <c r="H35">
        <f t="shared" si="3"/>
        <v>325.96342833219768</v>
      </c>
      <c r="I35" s="8">
        <f t="shared" si="4"/>
        <v>229.41743769988295</v>
      </c>
      <c r="J35">
        <f t="shared" si="1"/>
        <v>8.5283295667786932E-2</v>
      </c>
      <c r="K35">
        <f t="shared" si="2"/>
        <v>45475.289347145488</v>
      </c>
    </row>
    <row r="36" spans="1:15" ht="16" x14ac:dyDescent="0.25">
      <c r="A36" t="s">
        <v>13</v>
      </c>
      <c r="B36">
        <v>2012</v>
      </c>
      <c r="D36">
        <v>5793925</v>
      </c>
      <c r="E36">
        <v>469.83108520507812</v>
      </c>
      <c r="F36">
        <v>23179180</v>
      </c>
      <c r="G36">
        <f t="shared" si="0"/>
        <v>12331.932012269879</v>
      </c>
      <c r="H36">
        <f t="shared" si="3"/>
        <v>336.23713889418082</v>
      </c>
      <c r="I36" s="8">
        <f t="shared" si="4"/>
        <v>236.64821314257568</v>
      </c>
      <c r="J36">
        <f t="shared" si="1"/>
        <v>8.3320822105584974E-2</v>
      </c>
      <c r="K36">
        <f t="shared" si="2"/>
        <v>49335.134966394238</v>
      </c>
    </row>
    <row r="37" spans="1:15" ht="16" x14ac:dyDescent="0.25">
      <c r="A37" t="s">
        <v>13</v>
      </c>
      <c r="B37">
        <v>2013</v>
      </c>
      <c r="D37">
        <v>6163931.5</v>
      </c>
      <c r="E37">
        <v>483.85433959960938</v>
      </c>
      <c r="F37">
        <v>24719094</v>
      </c>
      <c r="G37">
        <f t="shared" si="0"/>
        <v>12739.229548092238</v>
      </c>
      <c r="H37">
        <f t="shared" si="3"/>
        <v>343.32376017920535</v>
      </c>
      <c r="I37" s="8">
        <f t="shared" si="4"/>
        <v>241.63587235783862</v>
      </c>
      <c r="J37">
        <f t="shared" si="1"/>
        <v>8.3119706302072938E-2</v>
      </c>
      <c r="K37">
        <f t="shared" si="2"/>
        <v>51087.883226293081</v>
      </c>
    </row>
    <row r="38" spans="1:15" ht="16" x14ac:dyDescent="0.25">
      <c r="A38" t="s">
        <v>13</v>
      </c>
      <c r="B38">
        <v>2014</v>
      </c>
      <c r="D38">
        <v>6620693.5</v>
      </c>
      <c r="E38">
        <v>483.0845947265625</v>
      </c>
      <c r="F38">
        <v>26274554</v>
      </c>
      <c r="G38">
        <f t="shared" si="0"/>
        <v>13705.039598183568</v>
      </c>
      <c r="H38">
        <f t="shared" si="3"/>
        <v>361.72309645194508</v>
      </c>
      <c r="I38" s="8">
        <f t="shared" si="4"/>
        <v>254.58557228174729</v>
      </c>
      <c r="J38">
        <f t="shared" si="1"/>
        <v>8.399373147621586E-2</v>
      </c>
      <c r="K38">
        <f t="shared" si="2"/>
        <v>54389.136575286633</v>
      </c>
    </row>
    <row r="39" spans="1:15" ht="16" x14ac:dyDescent="0.25">
      <c r="A39" t="s">
        <v>13</v>
      </c>
      <c r="B39">
        <v>2015</v>
      </c>
      <c r="D39">
        <v>7150100.5</v>
      </c>
      <c r="E39">
        <v>482.70046997070312</v>
      </c>
      <c r="F39">
        <v>27915780</v>
      </c>
      <c r="G39">
        <f t="shared" si="0"/>
        <v>14812.706729773779</v>
      </c>
      <c r="H39">
        <f t="shared" si="3"/>
        <v>383.03965954714693</v>
      </c>
      <c r="I39" s="8">
        <f t="shared" si="4"/>
        <v>269.58845561406139</v>
      </c>
      <c r="J39">
        <f t="shared" si="1"/>
        <v>8.5377046005282078E-2</v>
      </c>
      <c r="K39">
        <f t="shared" si="2"/>
        <v>57832.510504276725</v>
      </c>
    </row>
    <row r="40" spans="1:15" ht="16" x14ac:dyDescent="0.25">
      <c r="A40" t="s">
        <v>13</v>
      </c>
      <c r="B40">
        <v>2016</v>
      </c>
      <c r="D40">
        <v>7740434.5</v>
      </c>
      <c r="E40">
        <v>482.989013671875</v>
      </c>
      <c r="F40">
        <v>29662402</v>
      </c>
      <c r="G40">
        <f t="shared" si="0"/>
        <v>16026.108836625768</v>
      </c>
      <c r="H40">
        <f t="shared" si="3"/>
        <v>406.19857894604365</v>
      </c>
      <c r="I40" s="8">
        <f t="shared" si="4"/>
        <v>285.88801405096166</v>
      </c>
      <c r="J40">
        <f t="shared" si="1"/>
        <v>8.6983678305395939E-2</v>
      </c>
      <c r="K40">
        <f t="shared" si="2"/>
        <v>61414.23750924394</v>
      </c>
    </row>
    <row r="41" spans="1:15" ht="16" x14ac:dyDescent="0.25">
      <c r="A41" t="s">
        <v>13</v>
      </c>
      <c r="B41">
        <v>2017</v>
      </c>
      <c r="D41">
        <v>8285657</v>
      </c>
      <c r="E41">
        <v>487.19097900390625</v>
      </c>
      <c r="F41">
        <v>31536496</v>
      </c>
      <c r="G41">
        <f t="shared" si="0"/>
        <v>17007.000041217034</v>
      </c>
      <c r="H41">
        <f t="shared" si="3"/>
        <v>423.56784136484288</v>
      </c>
      <c r="I41" s="8">
        <f t="shared" si="4"/>
        <v>298.11273416525853</v>
      </c>
      <c r="J41">
        <f t="shared" si="1"/>
        <v>8.7577442549948051E-2</v>
      </c>
      <c r="K41">
        <f t="shared" si="2"/>
        <v>64731.280666317805</v>
      </c>
    </row>
    <row r="42" spans="1:15" ht="16" x14ac:dyDescent="0.25">
      <c r="A42" t="s">
        <v>13</v>
      </c>
      <c r="B42">
        <v>2018</v>
      </c>
      <c r="D42">
        <v>8792705</v>
      </c>
      <c r="E42">
        <v>491.07720947265625</v>
      </c>
      <c r="F42">
        <v>33579996</v>
      </c>
      <c r="G42">
        <f t="shared" si="0"/>
        <v>17904.933950085069</v>
      </c>
      <c r="H42">
        <f t="shared" si="3"/>
        <v>437.85377968605292</v>
      </c>
      <c r="I42" s="8">
        <f t="shared" si="4"/>
        <v>308.16736937866182</v>
      </c>
      <c r="J42">
        <f t="shared" si="1"/>
        <v>8.7281179743638637E-2</v>
      </c>
      <c r="K42">
        <f t="shared" si="2"/>
        <v>68380.277789840649</v>
      </c>
    </row>
    <row r="43" spans="1:15" ht="16" x14ac:dyDescent="0.25">
      <c r="A43" t="s">
        <v>13</v>
      </c>
      <c r="B43">
        <v>2019</v>
      </c>
      <c r="D43">
        <v>9164505</v>
      </c>
      <c r="E43">
        <v>497.61572265625</v>
      </c>
      <c r="F43">
        <v>35423260</v>
      </c>
      <c r="G43">
        <f t="shared" si="0"/>
        <v>18416.831668984032</v>
      </c>
      <c r="H43">
        <f t="shared" si="3"/>
        <v>444.37550095488626</v>
      </c>
      <c r="I43" s="8">
        <f t="shared" si="4"/>
        <v>312.75744437739377</v>
      </c>
      <c r="J43">
        <f t="shared" si="1"/>
        <v>8.6238110213458619E-2</v>
      </c>
      <c r="K43">
        <f t="shared" si="2"/>
        <v>71185.974211008157</v>
      </c>
    </row>
    <row r="44" spans="1:15" ht="16" x14ac:dyDescent="0.25">
      <c r="I44" s="8"/>
    </row>
    <row r="45" spans="1:15" ht="16" x14ac:dyDescent="0.25">
      <c r="D45" s="3"/>
      <c r="F45" s="3"/>
      <c r="I45" s="8"/>
    </row>
    <row r="46" spans="1:15" x14ac:dyDescent="0.2">
      <c r="A46" s="4" t="s">
        <v>8</v>
      </c>
      <c r="B46" s="4">
        <v>1979</v>
      </c>
      <c r="C46" s="4"/>
      <c r="D46">
        <v>1719669.5</v>
      </c>
      <c r="E46">
        <v>467.56011962890625</v>
      </c>
      <c r="F46">
        <v>5084995.5</v>
      </c>
      <c r="G46">
        <f>D46/E46</f>
        <v>3677.9644537794834</v>
      </c>
      <c r="H46">
        <f>D46/(F46^(1/3)*E46^(2/3))</f>
        <v>166.0057598969471</v>
      </c>
      <c r="I46">
        <f>H46/$H$47*100</f>
        <v>99.387127486006477</v>
      </c>
      <c r="J46">
        <f>(1/3)*(D46/F46)</f>
        <v>0.11272835279139709</v>
      </c>
      <c r="K46">
        <f t="shared" si="2"/>
        <v>10875.597140397402</v>
      </c>
      <c r="M46" t="s">
        <v>28</v>
      </c>
      <c r="N46" t="s">
        <v>29</v>
      </c>
      <c r="O46" t="s">
        <v>30</v>
      </c>
    </row>
    <row r="47" spans="1:15" x14ac:dyDescent="0.2">
      <c r="A47" s="4" t="s">
        <v>8</v>
      </c>
      <c r="B47" s="4">
        <v>1980</v>
      </c>
      <c r="C47" s="4"/>
      <c r="D47">
        <v>1804609.25</v>
      </c>
      <c r="E47">
        <v>484.66885375976562</v>
      </c>
      <c r="F47">
        <v>5368837.5</v>
      </c>
      <c r="G47">
        <f t="shared" ref="G47:G86" si="5">D47/E47</f>
        <v>3723.3860521486808</v>
      </c>
      <c r="H47">
        <f t="shared" ref="H47:H86" si="6">D47/(F47^(1/3)*E47^(2/3))</f>
        <v>167.02943740910553</v>
      </c>
      <c r="I47">
        <f>H47/$H$47*100</f>
        <v>100</v>
      </c>
      <c r="J47">
        <f t="shared" si="1"/>
        <v>0.11204220963414643</v>
      </c>
      <c r="K47">
        <f t="shared" si="2"/>
        <v>11077.331374508245</v>
      </c>
      <c r="L47">
        <v>1980</v>
      </c>
      <c r="M47">
        <f>G47</f>
        <v>3723.3860521486808</v>
      </c>
      <c r="N47">
        <f>(1/3)*K47</f>
        <v>3692.4437915027484</v>
      </c>
      <c r="O47">
        <f>I47</f>
        <v>100</v>
      </c>
    </row>
    <row r="48" spans="1:15" x14ac:dyDescent="0.2">
      <c r="A48" s="4" t="s">
        <v>8</v>
      </c>
      <c r="B48" s="4">
        <v>1981</v>
      </c>
      <c r="C48" s="4"/>
      <c r="D48">
        <v>1861478.125</v>
      </c>
      <c r="E48">
        <v>504.65182495117188</v>
      </c>
      <c r="F48">
        <v>5630197</v>
      </c>
      <c r="G48">
        <f t="shared" si="5"/>
        <v>3688.6384492518368</v>
      </c>
      <c r="H48">
        <f t="shared" si="6"/>
        <v>165.0778641909192</v>
      </c>
      <c r="I48">
        <f t="shared" ref="I48:I86" si="7">H48/$H$47*100</f>
        <v>98.831599238757946</v>
      </c>
      <c r="J48">
        <f t="shared" si="1"/>
        <v>0.11020799242607911</v>
      </c>
      <c r="K48">
        <f t="shared" si="2"/>
        <v>11156.596928079583</v>
      </c>
      <c r="L48">
        <v>1995</v>
      </c>
      <c r="M48">
        <f>G62</f>
        <v>6660.2725468787157</v>
      </c>
      <c r="N48">
        <f>(1/3)*K62</f>
        <v>5346.3961789608902</v>
      </c>
      <c r="O48">
        <f>I62</f>
        <v>158.11443443645001</v>
      </c>
    </row>
    <row r="49" spans="1:15" x14ac:dyDescent="0.2">
      <c r="A49" s="4" t="s">
        <v>8</v>
      </c>
      <c r="B49" s="4">
        <v>1982</v>
      </c>
      <c r="C49" s="4"/>
      <c r="D49">
        <v>2031570.5</v>
      </c>
      <c r="E49">
        <v>529.559326171875</v>
      </c>
      <c r="F49">
        <v>6061248</v>
      </c>
      <c r="G49">
        <f t="shared" si="5"/>
        <v>3836.341651625693</v>
      </c>
      <c r="H49">
        <f t="shared" si="6"/>
        <v>170.22949053037988</v>
      </c>
      <c r="I49">
        <f t="shared" si="7"/>
        <v>101.91586176120349</v>
      </c>
      <c r="J49">
        <f t="shared" si="1"/>
        <v>0.11172454363633805</v>
      </c>
      <c r="K49">
        <f t="shared" si="2"/>
        <v>11445.833734656479</v>
      </c>
      <c r="L49">
        <v>2019</v>
      </c>
      <c r="M49">
        <f>G86</f>
        <v>25752.437024600109</v>
      </c>
      <c r="N49">
        <f>(1/3)*K86</f>
        <v>34103.468616838683</v>
      </c>
      <c r="O49">
        <f>I86</f>
        <v>329.64921534683157</v>
      </c>
    </row>
    <row r="50" spans="1:15" x14ac:dyDescent="0.2">
      <c r="A50" s="4" t="s">
        <v>8</v>
      </c>
      <c r="B50" s="4">
        <v>1983</v>
      </c>
      <c r="C50" s="4"/>
      <c r="D50">
        <v>2178120.75</v>
      </c>
      <c r="E50">
        <v>543.17230224609375</v>
      </c>
      <c r="F50">
        <v>6307498.5</v>
      </c>
      <c r="G50">
        <f t="shared" si="5"/>
        <v>4009.9996649187833</v>
      </c>
      <c r="H50">
        <f t="shared" si="6"/>
        <v>177.0806699486817</v>
      </c>
      <c r="I50">
        <f t="shared" si="7"/>
        <v>106.01764137836236</v>
      </c>
      <c r="J50">
        <f t="shared" si="1"/>
        <v>0.11510747882064498</v>
      </c>
      <c r="K50">
        <f t="shared" si="2"/>
        <v>11612.334564773661</v>
      </c>
    </row>
    <row r="51" spans="1:15" x14ac:dyDescent="0.2">
      <c r="A51" s="4" t="s">
        <v>8</v>
      </c>
      <c r="B51" s="4">
        <v>1984</v>
      </c>
      <c r="C51" s="4"/>
      <c r="D51">
        <v>2414811.25</v>
      </c>
      <c r="E51">
        <v>557.97210693359375</v>
      </c>
      <c r="F51">
        <v>6595202</v>
      </c>
      <c r="G51">
        <f t="shared" si="5"/>
        <v>4327.8350655750528</v>
      </c>
      <c r="H51">
        <f t="shared" si="6"/>
        <v>189.99062167107132</v>
      </c>
      <c r="I51">
        <f t="shared" si="7"/>
        <v>113.74678896015612</v>
      </c>
      <c r="J51">
        <f t="shared" si="1"/>
        <v>0.12204888998598273</v>
      </c>
      <c r="K51">
        <f t="shared" si="2"/>
        <v>11819.949273530476</v>
      </c>
      <c r="L51" t="s">
        <v>26</v>
      </c>
      <c r="M51">
        <f>100*(LN(M48)-LN(M47))/15</f>
        <v>3.8768461554648801</v>
      </c>
      <c r="N51">
        <f>100*(1/3)*(LN(K62)-LN(K47))/15</f>
        <v>0.82252046567764592</v>
      </c>
      <c r="O51">
        <f>100*(LN(O48)-LN(O47))/15</f>
        <v>3.054325689787222</v>
      </c>
    </row>
    <row r="52" spans="1:15" x14ac:dyDescent="0.2">
      <c r="A52" s="4" t="s">
        <v>8</v>
      </c>
      <c r="B52" s="4">
        <v>1985</v>
      </c>
      <c r="C52" s="4"/>
      <c r="D52">
        <v>2602175.25</v>
      </c>
      <c r="E52">
        <v>573.3280029296875</v>
      </c>
      <c r="F52">
        <v>6912905.5</v>
      </c>
      <c r="G52">
        <f t="shared" si="5"/>
        <v>4538.7199590861928</v>
      </c>
      <c r="H52">
        <f t="shared" si="6"/>
        <v>197.93118839341079</v>
      </c>
      <c r="I52">
        <f t="shared" si="7"/>
        <v>118.50078133749416</v>
      </c>
      <c r="J52">
        <f t="shared" si="1"/>
        <v>0.12547426693450386</v>
      </c>
      <c r="K52">
        <f t="shared" si="2"/>
        <v>12057.505415181671</v>
      </c>
      <c r="L52" t="s">
        <v>27</v>
      </c>
      <c r="M52">
        <f>100*(LN(M49)-LN(M48))/24</f>
        <v>5.6348702403908435</v>
      </c>
      <c r="N52">
        <f>100*(1/3)*(LN(K86)-LN(K62))/24</f>
        <v>2.5735782993954004</v>
      </c>
      <c r="O52">
        <f>100*(LN(O49)-LN(O48))/24</f>
        <v>3.0612919409954475</v>
      </c>
    </row>
    <row r="53" spans="1:15" x14ac:dyDescent="0.2">
      <c r="A53" s="4" t="s">
        <v>8</v>
      </c>
      <c r="B53" s="4">
        <v>1986</v>
      </c>
      <c r="C53" s="4"/>
      <c r="D53">
        <v>2780417</v>
      </c>
      <c r="E53">
        <v>587.22283935546875</v>
      </c>
      <c r="F53">
        <v>7385940.5</v>
      </c>
      <c r="G53">
        <f t="shared" si="5"/>
        <v>4734.8584109088197</v>
      </c>
      <c r="H53">
        <f t="shared" si="6"/>
        <v>203.59762514443221</v>
      </c>
      <c r="I53">
        <f t="shared" si="7"/>
        <v>121.8932592377475</v>
      </c>
      <c r="J53">
        <f t="shared" si="1"/>
        <v>0.12548241712300101</v>
      </c>
      <c r="K53">
        <f t="shared" si="2"/>
        <v>12577.747330309481</v>
      </c>
    </row>
    <row r="54" spans="1:15" x14ac:dyDescent="0.2">
      <c r="A54" s="4" t="s">
        <v>8</v>
      </c>
      <c r="B54" s="4">
        <v>1987</v>
      </c>
      <c r="C54" s="4"/>
      <c r="D54">
        <v>3008289.25</v>
      </c>
      <c r="E54">
        <v>599.64971923828125</v>
      </c>
      <c r="F54">
        <v>7803220.5</v>
      </c>
      <c r="G54">
        <f t="shared" si="5"/>
        <v>5016.7441982985465</v>
      </c>
      <c r="H54">
        <f t="shared" si="6"/>
        <v>213.28642207939583</v>
      </c>
      <c r="I54">
        <f t="shared" si="7"/>
        <v>127.6939115570347</v>
      </c>
      <c r="J54">
        <f t="shared" si="1"/>
        <v>0.12850631137917137</v>
      </c>
      <c r="K54">
        <f t="shared" si="2"/>
        <v>13012.964485186818</v>
      </c>
    </row>
    <row r="55" spans="1:15" x14ac:dyDescent="0.2">
      <c r="A55" s="4" t="s">
        <v>8</v>
      </c>
      <c r="B55" s="4">
        <v>1988</v>
      </c>
      <c r="C55" s="4"/>
      <c r="D55">
        <v>3141822.25</v>
      </c>
      <c r="E55">
        <v>617.7464599609375</v>
      </c>
      <c r="F55">
        <v>8099619</v>
      </c>
      <c r="G55">
        <f t="shared" si="5"/>
        <v>5085.9413264766736</v>
      </c>
      <c r="H55">
        <f t="shared" si="6"/>
        <v>215.68498072332872</v>
      </c>
      <c r="I55">
        <f t="shared" si="7"/>
        <v>129.12992108992805</v>
      </c>
      <c r="J55">
        <f t="shared" si="1"/>
        <v>0.12929917855806961</v>
      </c>
      <c r="K55">
        <f t="shared" si="2"/>
        <v>13111.558746143475</v>
      </c>
    </row>
    <row r="56" spans="1:15" x14ac:dyDescent="0.2">
      <c r="A56" s="4" t="s">
        <v>8</v>
      </c>
      <c r="B56" s="4">
        <v>1989</v>
      </c>
      <c r="C56" s="4"/>
      <c r="D56">
        <v>3153460.25</v>
      </c>
      <c r="E56">
        <v>641.05084228515625</v>
      </c>
      <c r="F56">
        <v>8307742</v>
      </c>
      <c r="G56">
        <f t="shared" si="5"/>
        <v>4919.2045965634316</v>
      </c>
      <c r="H56">
        <f t="shared" si="6"/>
        <v>209.42637584701035</v>
      </c>
      <c r="I56">
        <f t="shared" si="7"/>
        <v>125.38291399141931</v>
      </c>
      <c r="J56">
        <f t="shared" si="1"/>
        <v>0.12652696926152335</v>
      </c>
      <c r="K56">
        <f t="shared" si="2"/>
        <v>12959.568027998157</v>
      </c>
    </row>
    <row r="57" spans="1:15" x14ac:dyDescent="0.2">
      <c r="A57" s="4" t="s">
        <v>8</v>
      </c>
      <c r="B57" s="4">
        <v>1990</v>
      </c>
      <c r="C57" s="4"/>
      <c r="D57">
        <v>3165062.75</v>
      </c>
      <c r="E57">
        <v>660.47650146484375</v>
      </c>
      <c r="F57">
        <v>8407349</v>
      </c>
      <c r="G57">
        <f t="shared" si="5"/>
        <v>4792.0898669072058</v>
      </c>
      <c r="H57">
        <f t="shared" si="6"/>
        <v>205.23797397523802</v>
      </c>
      <c r="I57">
        <f t="shared" si="7"/>
        <v>122.87533093495864</v>
      </c>
      <c r="J57">
        <f t="shared" si="1"/>
        <v>0.12548794116512429</v>
      </c>
      <c r="K57">
        <f t="shared" si="2"/>
        <v>12729.21743824903</v>
      </c>
    </row>
    <row r="58" spans="1:15" x14ac:dyDescent="0.2">
      <c r="A58" s="4" t="s">
        <v>8</v>
      </c>
      <c r="B58" s="4">
        <v>1991</v>
      </c>
      <c r="C58" s="4"/>
      <c r="D58">
        <v>3300265.5</v>
      </c>
      <c r="E58">
        <v>675.50347900390625</v>
      </c>
      <c r="F58">
        <v>8543077</v>
      </c>
      <c r="G58">
        <f t="shared" si="5"/>
        <v>4885.6380501053136</v>
      </c>
      <c r="H58">
        <f t="shared" si="6"/>
        <v>209.69707812276496</v>
      </c>
      <c r="I58">
        <f t="shared" si="7"/>
        <v>125.54498259438753</v>
      </c>
      <c r="J58">
        <f t="shared" si="1"/>
        <v>0.12876958735125527</v>
      </c>
      <c r="K58">
        <f t="shared" si="2"/>
        <v>12646.977055688261</v>
      </c>
    </row>
    <row r="59" spans="1:15" x14ac:dyDescent="0.2">
      <c r="A59" s="4" t="s">
        <v>8</v>
      </c>
      <c r="B59" s="4">
        <v>1992</v>
      </c>
      <c r="C59" s="4"/>
      <c r="D59">
        <v>3556142.5</v>
      </c>
      <c r="E59">
        <v>682.740966796875</v>
      </c>
      <c r="F59">
        <v>8784302</v>
      </c>
      <c r="G59">
        <f t="shared" si="5"/>
        <v>5208.6262183502495</v>
      </c>
      <c r="H59">
        <f t="shared" si="6"/>
        <v>222.28292051301761</v>
      </c>
      <c r="I59">
        <f t="shared" si="7"/>
        <v>133.08008693616063</v>
      </c>
      <c r="J59">
        <f t="shared" si="1"/>
        <v>0.13494308749099623</v>
      </c>
      <c r="K59">
        <f t="shared" si="2"/>
        <v>12866.229547074261</v>
      </c>
    </row>
    <row r="60" spans="1:15" x14ac:dyDescent="0.2">
      <c r="A60" s="4" t="s">
        <v>8</v>
      </c>
      <c r="B60" s="4">
        <v>1993</v>
      </c>
      <c r="C60" s="4"/>
      <c r="D60">
        <v>3920703.5</v>
      </c>
      <c r="E60">
        <v>688.57916259765625</v>
      </c>
      <c r="F60">
        <v>9538352</v>
      </c>
      <c r="G60">
        <f t="shared" si="5"/>
        <v>5693.9037847285344</v>
      </c>
      <c r="H60">
        <f t="shared" si="6"/>
        <v>237.08475801360049</v>
      </c>
      <c r="I60">
        <f t="shared" si="7"/>
        <v>141.94190059618552</v>
      </c>
      <c r="J60">
        <f t="shared" si="1"/>
        <v>0.13701540545648416</v>
      </c>
      <c r="K60">
        <f t="shared" si="2"/>
        <v>13852.222835231736</v>
      </c>
    </row>
    <row r="61" spans="1:15" x14ac:dyDescent="0.2">
      <c r="A61" s="4" t="s">
        <v>8</v>
      </c>
      <c r="B61" s="4">
        <v>1994</v>
      </c>
      <c r="C61" s="4"/>
      <c r="D61">
        <v>4256049.5</v>
      </c>
      <c r="E61">
        <v>693.91375732421875</v>
      </c>
      <c r="F61">
        <v>10230663</v>
      </c>
      <c r="G61">
        <f t="shared" si="5"/>
        <v>6133.3983583372556</v>
      </c>
      <c r="H61">
        <f t="shared" si="6"/>
        <v>250.13151419046861</v>
      </c>
      <c r="I61">
        <f t="shared" si="7"/>
        <v>149.75295257555169</v>
      </c>
      <c r="J61">
        <f t="shared" si="1"/>
        <v>0.13866971931991764</v>
      </c>
      <c r="K61">
        <f t="shared" si="2"/>
        <v>14743.421487203497</v>
      </c>
    </row>
    <row r="62" spans="1:15" x14ac:dyDescent="0.2">
      <c r="A62" s="4" t="s">
        <v>8</v>
      </c>
      <c r="B62" s="4">
        <v>1995</v>
      </c>
      <c r="C62" s="4"/>
      <c r="D62">
        <v>4656878.5</v>
      </c>
      <c r="E62">
        <v>699.202392578125</v>
      </c>
      <c r="F62">
        <v>11214639</v>
      </c>
      <c r="G62">
        <f t="shared" si="5"/>
        <v>6660.2725468787157</v>
      </c>
      <c r="H62">
        <f t="shared" si="6"/>
        <v>264.09765030179148</v>
      </c>
      <c r="I62">
        <f t="shared" si="7"/>
        <v>158.11443443645001</v>
      </c>
      <c r="J62">
        <f t="shared" si="1"/>
        <v>0.1384166564196434</v>
      </c>
      <c r="K62">
        <f t="shared" si="2"/>
        <v>16039.188536882672</v>
      </c>
    </row>
    <row r="63" spans="1:15" x14ac:dyDescent="0.2">
      <c r="A63" s="4" t="s">
        <v>8</v>
      </c>
      <c r="B63" s="4">
        <v>1996</v>
      </c>
      <c r="C63" s="4"/>
      <c r="D63">
        <v>4990403</v>
      </c>
      <c r="E63">
        <v>705.6328125</v>
      </c>
      <c r="F63">
        <v>12194281</v>
      </c>
      <c r="G63">
        <f t="shared" si="5"/>
        <v>7072.2377298745587</v>
      </c>
      <c r="H63">
        <f t="shared" si="6"/>
        <v>273.54642326231181</v>
      </c>
      <c r="I63">
        <f t="shared" si="7"/>
        <v>163.7713851554885</v>
      </c>
      <c r="J63">
        <f t="shared" si="1"/>
        <v>0.13641375548641749</v>
      </c>
      <c r="K63">
        <f t="shared" si="2"/>
        <v>17281.340640604067</v>
      </c>
    </row>
    <row r="64" spans="1:15" x14ac:dyDescent="0.2">
      <c r="A64" s="4" t="s">
        <v>8</v>
      </c>
      <c r="B64" s="4">
        <v>1997</v>
      </c>
      <c r="C64" s="4"/>
      <c r="D64">
        <v>5274646.5</v>
      </c>
      <c r="E64">
        <v>713.37640380859375</v>
      </c>
      <c r="F64">
        <v>12852704</v>
      </c>
      <c r="G64">
        <f t="shared" si="5"/>
        <v>7393.917813708963</v>
      </c>
      <c r="H64">
        <f t="shared" si="6"/>
        <v>282.0434577808175</v>
      </c>
      <c r="I64">
        <f t="shared" si="7"/>
        <v>168.85853305606719</v>
      </c>
      <c r="J64">
        <f t="shared" si="1"/>
        <v>0.13679732296021133</v>
      </c>
      <c r="K64">
        <f t="shared" si="2"/>
        <v>18016.721511086751</v>
      </c>
    </row>
    <row r="65" spans="1:11" x14ac:dyDescent="0.2">
      <c r="A65" s="4" t="s">
        <v>8</v>
      </c>
      <c r="B65" s="4">
        <v>1998</v>
      </c>
      <c r="C65" s="4"/>
      <c r="D65">
        <v>5305648.5</v>
      </c>
      <c r="E65">
        <v>721.1416015625</v>
      </c>
      <c r="F65">
        <v>13491075</v>
      </c>
      <c r="G65">
        <f t="shared" si="5"/>
        <v>7357.2908406673987</v>
      </c>
      <c r="H65">
        <f t="shared" si="6"/>
        <v>277.14640887807087</v>
      </c>
      <c r="I65">
        <f t="shared" si="7"/>
        <v>165.92668524605975</v>
      </c>
      <c r="J65">
        <f t="shared" si="1"/>
        <v>0.13109033194167255</v>
      </c>
      <c r="K65">
        <f t="shared" si="2"/>
        <v>18707.941645259187</v>
      </c>
    </row>
    <row r="66" spans="1:11" x14ac:dyDescent="0.2">
      <c r="A66" s="4" t="s">
        <v>8</v>
      </c>
      <c r="B66" s="4">
        <v>1999</v>
      </c>
      <c r="C66" s="4"/>
      <c r="D66">
        <v>5572817.5</v>
      </c>
      <c r="E66">
        <v>728.70111083984375</v>
      </c>
      <c r="F66">
        <v>14562359</v>
      </c>
      <c r="G66">
        <f t="shared" si="5"/>
        <v>7647.6039587440828</v>
      </c>
      <c r="H66">
        <f t="shared" si="6"/>
        <v>281.81533532650076</v>
      </c>
      <c r="I66">
        <f t="shared" si="7"/>
        <v>168.72195685856855</v>
      </c>
      <c r="J66">
        <f t="shared" si="1"/>
        <v>0.12756215070191124</v>
      </c>
      <c r="K66">
        <f t="shared" si="2"/>
        <v>19983.994512121117</v>
      </c>
    </row>
    <row r="67" spans="1:11" x14ac:dyDescent="0.2">
      <c r="A67" s="4" t="s">
        <v>8</v>
      </c>
      <c r="B67" s="4">
        <v>2000</v>
      </c>
      <c r="C67" s="4"/>
      <c r="D67">
        <v>5961858.5</v>
      </c>
      <c r="E67">
        <v>735.72314453125</v>
      </c>
      <c r="F67">
        <v>15760559</v>
      </c>
      <c r="G67">
        <f t="shared" si="5"/>
        <v>8103.3994163639754</v>
      </c>
      <c r="H67">
        <f t="shared" si="6"/>
        <v>291.77506841074523</v>
      </c>
      <c r="I67">
        <f t="shared" si="7"/>
        <v>174.68481780017015</v>
      </c>
      <c r="J67">
        <f t="shared" si="1"/>
        <v>0.12609236554786329</v>
      </c>
      <c r="K67">
        <f t="shared" si="2"/>
        <v>21421.86108613111</v>
      </c>
    </row>
    <row r="68" spans="1:11" x14ac:dyDescent="0.2">
      <c r="A68" s="4" t="s">
        <v>8</v>
      </c>
      <c r="B68" s="4">
        <v>2001</v>
      </c>
      <c r="C68" s="4"/>
      <c r="D68">
        <v>6370494</v>
      </c>
      <c r="E68">
        <v>742.67596435546875</v>
      </c>
      <c r="F68">
        <v>17206794</v>
      </c>
      <c r="G68">
        <f t="shared" si="5"/>
        <v>8577.757064655556</v>
      </c>
      <c r="H68">
        <f t="shared" si="6"/>
        <v>300.88939333407586</v>
      </c>
      <c r="I68">
        <f t="shared" si="7"/>
        <v>180.14153552891813</v>
      </c>
      <c r="J68">
        <f t="shared" ref="J68:J86" si="8">(1/3)*(D68/F68)</f>
        <v>0.12341043892313698</v>
      </c>
      <c r="K68">
        <f t="shared" ref="K68:K86" si="9">F68/E68</f>
        <v>23168.642619170951</v>
      </c>
    </row>
    <row r="69" spans="1:11" x14ac:dyDescent="0.2">
      <c r="A69" s="4" t="s">
        <v>8</v>
      </c>
      <c r="B69" s="4">
        <v>2002</v>
      </c>
      <c r="C69" s="4"/>
      <c r="D69">
        <v>6969362</v>
      </c>
      <c r="E69">
        <v>748.6954345703125</v>
      </c>
      <c r="F69">
        <v>18975916</v>
      </c>
      <c r="G69">
        <f t="shared" si="5"/>
        <v>9308.6743663661055</v>
      </c>
      <c r="H69">
        <f t="shared" si="6"/>
        <v>316.89981336236008</v>
      </c>
      <c r="I69">
        <f t="shared" si="7"/>
        <v>189.72692375546757</v>
      </c>
      <c r="J69">
        <f t="shared" si="8"/>
        <v>0.12242469173380967</v>
      </c>
      <c r="K69">
        <f t="shared" si="9"/>
        <v>25345.307482595457</v>
      </c>
    </row>
    <row r="70" spans="1:11" x14ac:dyDescent="0.2">
      <c r="A70" s="4" t="s">
        <v>8</v>
      </c>
      <c r="B70" s="4">
        <v>2003</v>
      </c>
      <c r="C70" s="4"/>
      <c r="D70">
        <v>7496418</v>
      </c>
      <c r="E70">
        <v>753.5504150390625</v>
      </c>
      <c r="F70">
        <v>20683408</v>
      </c>
      <c r="G70">
        <f t="shared" si="5"/>
        <v>9948.1306763150023</v>
      </c>
      <c r="H70">
        <f t="shared" si="6"/>
        <v>329.79055957289717</v>
      </c>
      <c r="I70">
        <f t="shared" si="7"/>
        <v>197.44457305758655</v>
      </c>
      <c r="J70">
        <f t="shared" si="8"/>
        <v>0.12081210214486895</v>
      </c>
      <c r="K70">
        <f t="shared" si="9"/>
        <v>27447.941885783202</v>
      </c>
    </row>
    <row r="71" spans="1:11" x14ac:dyDescent="0.2">
      <c r="A71" s="4" t="s">
        <v>8</v>
      </c>
      <c r="B71" s="4">
        <v>2004</v>
      </c>
      <c r="C71" s="4"/>
      <c r="D71">
        <v>8225268.5</v>
      </c>
      <c r="E71">
        <v>758.61431884765625</v>
      </c>
      <c r="F71">
        <v>22941258</v>
      </c>
      <c r="G71">
        <f t="shared" si="5"/>
        <v>10842.490440325824</v>
      </c>
      <c r="H71">
        <f t="shared" si="6"/>
        <v>348.01421496653199</v>
      </c>
      <c r="I71">
        <f t="shared" si="7"/>
        <v>208.35501835172926</v>
      </c>
      <c r="J71">
        <f t="shared" si="8"/>
        <v>0.11951202356325299</v>
      </c>
      <c r="K71">
        <f t="shared" si="9"/>
        <v>30241.003142213332</v>
      </c>
    </row>
    <row r="72" spans="1:11" x14ac:dyDescent="0.2">
      <c r="A72" s="4" t="s">
        <v>8</v>
      </c>
      <c r="B72" s="4">
        <v>2005</v>
      </c>
      <c r="C72" s="4"/>
      <c r="D72">
        <v>9019165</v>
      </c>
      <c r="E72">
        <v>763.2120361328125</v>
      </c>
      <c r="F72">
        <v>25472820</v>
      </c>
      <c r="G72">
        <f t="shared" si="5"/>
        <v>11817.377836046737</v>
      </c>
      <c r="H72">
        <f t="shared" si="6"/>
        <v>367.03756588258005</v>
      </c>
      <c r="I72">
        <f t="shared" si="7"/>
        <v>219.74423884551214</v>
      </c>
      <c r="J72">
        <f t="shared" si="8"/>
        <v>0.11802338073810961</v>
      </c>
      <c r="K72">
        <f t="shared" si="9"/>
        <v>33375.810120959984</v>
      </c>
    </row>
    <row r="73" spans="1:11" x14ac:dyDescent="0.2">
      <c r="A73" s="4" t="s">
        <v>8</v>
      </c>
      <c r="B73" s="4">
        <v>2006</v>
      </c>
      <c r="C73" s="4"/>
      <c r="D73">
        <v>9981658</v>
      </c>
      <c r="E73">
        <v>767.2093505859375</v>
      </c>
      <c r="F73">
        <v>28098400</v>
      </c>
      <c r="G73">
        <f t="shared" si="5"/>
        <v>13010.344558987388</v>
      </c>
      <c r="H73">
        <f t="shared" si="6"/>
        <v>391.77155213224376</v>
      </c>
      <c r="I73">
        <f t="shared" si="7"/>
        <v>234.5523987922422</v>
      </c>
      <c r="J73">
        <f t="shared" si="8"/>
        <v>0.11841312435346259</v>
      </c>
      <c r="K73">
        <f t="shared" si="9"/>
        <v>36624.162594656242</v>
      </c>
    </row>
    <row r="74" spans="1:11" x14ac:dyDescent="0.2">
      <c r="A74" s="4" t="s">
        <v>8</v>
      </c>
      <c r="B74" s="4">
        <v>2007</v>
      </c>
      <c r="C74" s="4"/>
      <c r="D74">
        <v>10976025</v>
      </c>
      <c r="E74">
        <v>771.03839111328125</v>
      </c>
      <c r="F74">
        <v>30290010</v>
      </c>
      <c r="G74">
        <f t="shared" si="5"/>
        <v>14235.380658739985</v>
      </c>
      <c r="H74">
        <f t="shared" si="6"/>
        <v>418.75622893485831</v>
      </c>
      <c r="I74">
        <f t="shared" si="7"/>
        <v>250.70804010983875</v>
      </c>
      <c r="J74">
        <f t="shared" si="8"/>
        <v>0.12078817405474609</v>
      </c>
      <c r="K74">
        <f t="shared" si="9"/>
        <v>39284.69755736168</v>
      </c>
    </row>
    <row r="75" spans="1:11" x14ac:dyDescent="0.2">
      <c r="A75" s="4" t="s">
        <v>8</v>
      </c>
      <c r="B75" s="4">
        <v>2008</v>
      </c>
      <c r="C75" s="4"/>
      <c r="D75">
        <v>11615480</v>
      </c>
      <c r="E75">
        <v>774.45635986328125</v>
      </c>
      <c r="F75">
        <v>32863452</v>
      </c>
      <c r="G75">
        <f t="shared" si="5"/>
        <v>14998.236959472501</v>
      </c>
      <c r="H75">
        <f t="shared" si="6"/>
        <v>429.99968189095227</v>
      </c>
      <c r="I75">
        <f t="shared" si="7"/>
        <v>257.43946011010814</v>
      </c>
      <c r="J75">
        <f t="shared" si="8"/>
        <v>0.11781558025817454</v>
      </c>
      <c r="K75">
        <f t="shared" si="9"/>
        <v>42434.220574806248</v>
      </c>
    </row>
    <row r="76" spans="1:11" x14ac:dyDescent="0.2">
      <c r="A76" s="4" t="s">
        <v>8</v>
      </c>
      <c r="B76" s="4">
        <v>2009</v>
      </c>
      <c r="C76" s="4"/>
      <c r="D76">
        <v>12577085</v>
      </c>
      <c r="E76">
        <v>777.62725830078125</v>
      </c>
      <c r="F76">
        <v>36855464</v>
      </c>
      <c r="G76">
        <f t="shared" si="5"/>
        <v>16173.667866893709</v>
      </c>
      <c r="H76">
        <f t="shared" si="6"/>
        <v>446.92198385543696</v>
      </c>
      <c r="I76">
        <f t="shared" si="7"/>
        <v>267.57078919016539</v>
      </c>
      <c r="J76">
        <f t="shared" si="8"/>
        <v>0.11375142819166967</v>
      </c>
      <c r="K76">
        <f t="shared" si="9"/>
        <v>47394.768646014389</v>
      </c>
    </row>
    <row r="77" spans="1:11" x14ac:dyDescent="0.2">
      <c r="A77" s="4" t="s">
        <v>8</v>
      </c>
      <c r="B77" s="4">
        <v>2010</v>
      </c>
      <c r="C77" s="4"/>
      <c r="D77">
        <v>13946387</v>
      </c>
      <c r="E77">
        <v>781.0355224609375</v>
      </c>
      <c r="F77">
        <v>42331708</v>
      </c>
      <c r="G77">
        <f t="shared" si="5"/>
        <v>17856.277466173135</v>
      </c>
      <c r="H77">
        <f t="shared" si="6"/>
        <v>471.83764836689409</v>
      </c>
      <c r="I77">
        <f t="shared" si="7"/>
        <v>282.48771934208293</v>
      </c>
      <c r="J77">
        <f t="shared" si="8"/>
        <v>0.10981828719660133</v>
      </c>
      <c r="K77">
        <f t="shared" si="9"/>
        <v>54199.465687064403</v>
      </c>
    </row>
    <row r="78" spans="1:11" x14ac:dyDescent="0.2">
      <c r="A78" s="4" t="s">
        <v>8</v>
      </c>
      <c r="B78" s="4">
        <v>2011</v>
      </c>
      <c r="C78" s="4"/>
      <c r="D78">
        <v>14917428</v>
      </c>
      <c r="E78">
        <v>784.71331787109375</v>
      </c>
      <c r="F78">
        <v>46622832</v>
      </c>
      <c r="G78">
        <f t="shared" si="5"/>
        <v>19010.035461702861</v>
      </c>
      <c r="H78">
        <f t="shared" si="6"/>
        <v>487.17730809303345</v>
      </c>
      <c r="I78">
        <f t="shared" si="7"/>
        <v>291.67152548073852</v>
      </c>
      <c r="J78">
        <f t="shared" si="8"/>
        <v>0.10665323805297799</v>
      </c>
      <c r="K78">
        <f t="shared" si="9"/>
        <v>59413.840619509931</v>
      </c>
    </row>
    <row r="79" spans="1:11" x14ac:dyDescent="0.2">
      <c r="A79" s="4" t="s">
        <v>8</v>
      </c>
      <c r="B79" s="4">
        <v>2012</v>
      </c>
      <c r="D79">
        <v>15414981</v>
      </c>
      <c r="E79">
        <v>788.2928466796875</v>
      </c>
      <c r="F79">
        <v>50743640</v>
      </c>
      <c r="G79">
        <f t="shared" si="5"/>
        <v>19554.891389574765</v>
      </c>
      <c r="H79">
        <f t="shared" si="6"/>
        <v>487.92986113912633</v>
      </c>
      <c r="I79">
        <f t="shared" si="7"/>
        <v>292.12207662774961</v>
      </c>
      <c r="J79">
        <f t="shared" si="8"/>
        <v>0.10126051264749632</v>
      </c>
      <c r="K79">
        <f t="shared" si="9"/>
        <v>64371.559647830996</v>
      </c>
    </row>
    <row r="80" spans="1:11" x14ac:dyDescent="0.2">
      <c r="A80" s="4" t="s">
        <v>8</v>
      </c>
      <c r="B80" s="4">
        <v>2013</v>
      </c>
      <c r="D80">
        <v>16561333</v>
      </c>
      <c r="E80">
        <v>791.64276123046875</v>
      </c>
      <c r="F80">
        <v>55869636</v>
      </c>
      <c r="G80">
        <f t="shared" si="5"/>
        <v>20920.210240106706</v>
      </c>
      <c r="H80">
        <f t="shared" si="6"/>
        <v>506.23307010053264</v>
      </c>
      <c r="I80">
        <f t="shared" si="7"/>
        <v>303.08015039325971</v>
      </c>
      <c r="J80">
        <f t="shared" si="8"/>
        <v>9.8809384284038182E-2</v>
      </c>
      <c r="K80">
        <f t="shared" si="9"/>
        <v>70574.302875151072</v>
      </c>
    </row>
    <row r="81" spans="1:11" x14ac:dyDescent="0.2">
      <c r="A81" s="4" t="s">
        <v>8</v>
      </c>
      <c r="B81" s="4">
        <v>2014</v>
      </c>
      <c r="D81">
        <v>17710510</v>
      </c>
      <c r="E81">
        <v>794.6456298828125</v>
      </c>
      <c r="F81">
        <v>60808008</v>
      </c>
      <c r="G81">
        <f t="shared" si="5"/>
        <v>22287.305603897668</v>
      </c>
      <c r="H81">
        <f t="shared" si="6"/>
        <v>524.96273506035845</v>
      </c>
      <c r="I81">
        <f t="shared" si="7"/>
        <v>314.29354202670646</v>
      </c>
      <c r="J81">
        <f t="shared" si="8"/>
        <v>9.7084307273037684E-2</v>
      </c>
      <c r="K81">
        <f t="shared" si="9"/>
        <v>76522.170025609332</v>
      </c>
    </row>
    <row r="82" spans="1:11" x14ac:dyDescent="0.2">
      <c r="A82" s="4" t="s">
        <v>8</v>
      </c>
      <c r="B82" s="4">
        <v>2015</v>
      </c>
      <c r="D82">
        <v>18378150</v>
      </c>
      <c r="E82">
        <v>797.33526611328125</v>
      </c>
      <c r="F82">
        <v>64797304</v>
      </c>
      <c r="G82">
        <f t="shared" si="5"/>
        <v>23049.463357599598</v>
      </c>
      <c r="H82">
        <f t="shared" si="6"/>
        <v>532.13541590859461</v>
      </c>
      <c r="I82">
        <f t="shared" si="7"/>
        <v>318.58780354102151</v>
      </c>
      <c r="J82">
        <f t="shared" si="8"/>
        <v>9.4541742045317192E-2</v>
      </c>
      <c r="K82">
        <f t="shared" si="9"/>
        <v>81267.32474265591</v>
      </c>
    </row>
    <row r="83" spans="1:11" x14ac:dyDescent="0.2">
      <c r="A83" s="4" t="s">
        <v>8</v>
      </c>
      <c r="B83" s="4">
        <v>2016</v>
      </c>
      <c r="D83">
        <v>19131150</v>
      </c>
      <c r="E83">
        <v>798.53033447265625</v>
      </c>
      <c r="F83">
        <v>68728456</v>
      </c>
      <c r="G83">
        <f t="shared" si="5"/>
        <v>23957.950216924539</v>
      </c>
      <c r="H83">
        <f t="shared" si="6"/>
        <v>542.62683630766901</v>
      </c>
      <c r="I83">
        <f t="shared" si="7"/>
        <v>324.86898400945461</v>
      </c>
      <c r="J83">
        <f t="shared" si="8"/>
        <v>9.2786167057208435E-2</v>
      </c>
      <c r="K83">
        <f t="shared" si="9"/>
        <v>86068.685224572939</v>
      </c>
    </row>
    <row r="84" spans="1:11" x14ac:dyDescent="0.2">
      <c r="A84" s="4" t="s">
        <v>8</v>
      </c>
      <c r="B84" s="4">
        <v>2017</v>
      </c>
      <c r="D84">
        <v>19685860</v>
      </c>
      <c r="E84">
        <v>799.18609619140625</v>
      </c>
      <c r="F84">
        <v>72763856</v>
      </c>
      <c r="G84">
        <f t="shared" si="5"/>
        <v>24632.385490456789</v>
      </c>
      <c r="H84">
        <f t="shared" si="6"/>
        <v>547.54171324059655</v>
      </c>
      <c r="I84">
        <f t="shared" si="7"/>
        <v>327.81150540518291</v>
      </c>
      <c r="J84">
        <f t="shared" si="8"/>
        <v>9.0181495237598913E-2</v>
      </c>
      <c r="K84">
        <f t="shared" si="9"/>
        <v>91047.449832727012</v>
      </c>
    </row>
    <row r="85" spans="1:11" x14ac:dyDescent="0.2">
      <c r="A85" s="4" t="s">
        <v>8</v>
      </c>
      <c r="B85" s="4">
        <v>2018</v>
      </c>
      <c r="D85">
        <v>19839984</v>
      </c>
      <c r="E85">
        <v>799.306640625</v>
      </c>
      <c r="F85">
        <v>76689208</v>
      </c>
      <c r="G85">
        <f t="shared" si="5"/>
        <v>24821.492768390573</v>
      </c>
      <c r="H85">
        <f t="shared" si="6"/>
        <v>542.19347397927652</v>
      </c>
      <c r="I85">
        <f t="shared" si="7"/>
        <v>324.6095313434368</v>
      </c>
      <c r="J85">
        <f t="shared" si="8"/>
        <v>8.6235445279340989E-2</v>
      </c>
      <c r="K85">
        <f t="shared" si="9"/>
        <v>95944.665166342893</v>
      </c>
    </row>
    <row r="86" spans="1:11" x14ac:dyDescent="0.2">
      <c r="A86" s="4" t="s">
        <v>8</v>
      </c>
      <c r="B86" s="4">
        <v>2019</v>
      </c>
      <c r="D86">
        <v>20571246</v>
      </c>
      <c r="E86">
        <v>798.8077392578125</v>
      </c>
      <c r="F86">
        <v>81726344</v>
      </c>
      <c r="G86">
        <f t="shared" si="5"/>
        <v>25752.437024600109</v>
      </c>
      <c r="H86">
        <f t="shared" si="6"/>
        <v>550.61122981734354</v>
      </c>
      <c r="I86">
        <f t="shared" si="7"/>
        <v>329.64921534683157</v>
      </c>
      <c r="J86">
        <f t="shared" si="8"/>
        <v>8.3902957900576086E-2</v>
      </c>
      <c r="K86">
        <f t="shared" si="9"/>
        <v>102310.40585051605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67CA-613F-3B41-B748-7AFC6C1F8EA6}">
  <dimension ref="A1:D7"/>
  <sheetViews>
    <sheetView tabSelected="1" workbookViewId="0">
      <selection activeCell="B17" sqref="B17"/>
    </sheetView>
  </sheetViews>
  <sheetFormatPr baseColWidth="10" defaultRowHeight="15" x14ac:dyDescent="0.2"/>
  <sheetData>
    <row r="1" spans="1:4" x14ac:dyDescent="0.2">
      <c r="A1" s="1" t="s">
        <v>8</v>
      </c>
      <c r="B1" s="1" t="s">
        <v>28</v>
      </c>
      <c r="C1" s="1" t="s">
        <v>29</v>
      </c>
      <c r="D1" s="1" t="s">
        <v>30</v>
      </c>
    </row>
    <row r="2" spans="1:4" x14ac:dyDescent="0.2">
      <c r="A2" s="1" t="s">
        <v>26</v>
      </c>
      <c r="B2">
        <v>3.8768461554648801</v>
      </c>
      <c r="C2">
        <v>0.82252046567764592</v>
      </c>
      <c r="D2">
        <v>3.054325689787222</v>
      </c>
    </row>
    <row r="3" spans="1:4" x14ac:dyDescent="0.2">
      <c r="A3" s="1" t="s">
        <v>27</v>
      </c>
      <c r="B3">
        <v>5.6348702403908435</v>
      </c>
      <c r="C3">
        <v>2.5735782993954004</v>
      </c>
      <c r="D3">
        <v>3.0612919409954475</v>
      </c>
    </row>
    <row r="4" spans="1:4" x14ac:dyDescent="0.2">
      <c r="A4" s="1"/>
    </row>
    <row r="5" spans="1:4" x14ac:dyDescent="0.2">
      <c r="A5" s="1" t="s">
        <v>13</v>
      </c>
      <c r="B5" s="1" t="s">
        <v>28</v>
      </c>
      <c r="C5" s="1" t="s">
        <v>29</v>
      </c>
      <c r="D5" s="1" t="s">
        <v>30</v>
      </c>
    </row>
    <row r="6" spans="1:4" x14ac:dyDescent="0.2">
      <c r="A6" s="1" t="s">
        <v>26</v>
      </c>
      <c r="B6">
        <v>2.8163010746157249</v>
      </c>
      <c r="C6" s="10">
        <v>0.67563675045304206</v>
      </c>
      <c r="D6" s="10">
        <v>2.1406643241626893</v>
      </c>
    </row>
    <row r="7" spans="1:4" x14ac:dyDescent="0.2">
      <c r="A7" s="1" t="s">
        <v>27</v>
      </c>
      <c r="B7">
        <v>5.1835536821055461</v>
      </c>
      <c r="C7" s="10">
        <v>1.7703948595366821</v>
      </c>
      <c r="D7" s="10">
        <v>3.4131588225688625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E1B-32FF-FD49-85A6-7A160251189F}">
  <dimension ref="A1:C42"/>
  <sheetViews>
    <sheetView workbookViewId="0">
      <selection activeCell="G25" sqref="G25"/>
    </sheetView>
  </sheetViews>
  <sheetFormatPr baseColWidth="10" defaultRowHeight="15" x14ac:dyDescent="0.2"/>
  <sheetData>
    <row r="1" spans="1:3" ht="32" x14ac:dyDescent="0.2">
      <c r="A1" s="1" t="s">
        <v>4</v>
      </c>
      <c r="B1" s="7" t="s">
        <v>15</v>
      </c>
      <c r="C1" s="7" t="s">
        <v>16</v>
      </c>
    </row>
    <row r="2" spans="1:3" x14ac:dyDescent="0.2">
      <c r="A2" s="1"/>
      <c r="B2" s="1" t="s">
        <v>7</v>
      </c>
      <c r="C2" s="1" t="s">
        <v>7</v>
      </c>
    </row>
    <row r="3" spans="1:3" x14ac:dyDescent="0.2">
      <c r="A3">
        <v>1980</v>
      </c>
      <c r="B3">
        <v>3479.0767824606855</v>
      </c>
      <c r="C3">
        <v>3723.3860521486808</v>
      </c>
    </row>
    <row r="4" spans="1:3" x14ac:dyDescent="0.2">
      <c r="A4">
        <v>1981</v>
      </c>
      <c r="B4">
        <v>3587.1544973630412</v>
      </c>
      <c r="C4">
        <v>3688.6384492518368</v>
      </c>
    </row>
    <row r="5" spans="1:3" x14ac:dyDescent="0.2">
      <c r="A5">
        <v>1982</v>
      </c>
      <c r="B5">
        <v>3611.4986989403646</v>
      </c>
      <c r="C5">
        <v>3836.341651625693</v>
      </c>
    </row>
    <row r="6" spans="1:3" x14ac:dyDescent="0.2">
      <c r="A6">
        <v>1983</v>
      </c>
      <c r="B6">
        <v>3771.5872903908839</v>
      </c>
      <c r="C6">
        <v>4009.9996649187833</v>
      </c>
    </row>
    <row r="7" spans="1:3" x14ac:dyDescent="0.2">
      <c r="A7">
        <v>1984</v>
      </c>
      <c r="B7">
        <v>3813.4195288602277</v>
      </c>
      <c r="C7">
        <v>4327.8350655750528</v>
      </c>
    </row>
    <row r="8" spans="1:3" x14ac:dyDescent="0.2">
      <c r="A8">
        <v>1985</v>
      </c>
      <c r="B8">
        <v>3911.3661079347776</v>
      </c>
      <c r="C8">
        <v>4538.7199590861928</v>
      </c>
    </row>
    <row r="9" spans="1:3" x14ac:dyDescent="0.2">
      <c r="A9">
        <v>1986</v>
      </c>
      <c r="B9">
        <v>3988.7604591233653</v>
      </c>
      <c r="C9">
        <v>4734.8584109088197</v>
      </c>
    </row>
    <row r="10" spans="1:3" x14ac:dyDescent="0.2">
      <c r="A10">
        <v>1987</v>
      </c>
      <c r="B10">
        <v>4037.866022971748</v>
      </c>
      <c r="C10">
        <v>5016.7441982985465</v>
      </c>
    </row>
    <row r="11" spans="1:3" x14ac:dyDescent="0.2">
      <c r="A11">
        <v>1988</v>
      </c>
      <c r="B11">
        <v>4311.4886375984079</v>
      </c>
      <c r="C11">
        <v>5085.9413264766736</v>
      </c>
    </row>
    <row r="12" spans="1:3" x14ac:dyDescent="0.2">
      <c r="A12">
        <v>1989</v>
      </c>
      <c r="B12">
        <v>4450.8561905991246</v>
      </c>
      <c r="C12">
        <v>4919.2045965634316</v>
      </c>
    </row>
    <row r="13" spans="1:3" x14ac:dyDescent="0.2">
      <c r="A13">
        <v>1990</v>
      </c>
      <c r="B13">
        <v>4578.5196176482359</v>
      </c>
      <c r="C13">
        <v>4792.0898669072058</v>
      </c>
    </row>
    <row r="14" spans="1:3" x14ac:dyDescent="0.2">
      <c r="A14">
        <v>1991</v>
      </c>
      <c r="B14">
        <v>4512.9806991879759</v>
      </c>
      <c r="C14">
        <v>4885.6380501053136</v>
      </c>
    </row>
    <row r="15" spans="1:3" x14ac:dyDescent="0.2">
      <c r="A15">
        <v>1992</v>
      </c>
      <c r="B15">
        <v>4642.6841694298409</v>
      </c>
      <c r="C15">
        <v>5208.6262183502495</v>
      </c>
    </row>
    <row r="16" spans="1:3" x14ac:dyDescent="0.2">
      <c r="A16">
        <v>1993</v>
      </c>
      <c r="B16">
        <v>4741.1280022019009</v>
      </c>
      <c r="C16">
        <v>5693.9037847285344</v>
      </c>
    </row>
    <row r="17" spans="1:3" x14ac:dyDescent="0.2">
      <c r="A17">
        <v>1994</v>
      </c>
      <c r="B17">
        <v>4986.2220307892976</v>
      </c>
      <c r="C17">
        <v>6133.3983583372556</v>
      </c>
    </row>
    <row r="18" spans="1:3" x14ac:dyDescent="0.2">
      <c r="A18">
        <v>1995</v>
      </c>
      <c r="B18">
        <v>5307.9841339667591</v>
      </c>
      <c r="C18">
        <v>6660.2725468787157</v>
      </c>
    </row>
    <row r="19" spans="1:3" x14ac:dyDescent="0.2">
      <c r="A19">
        <v>1996</v>
      </c>
      <c r="B19">
        <v>5646.8383350080057</v>
      </c>
      <c r="C19">
        <v>7072.2377298745587</v>
      </c>
    </row>
    <row r="20" spans="1:3" x14ac:dyDescent="0.2">
      <c r="A20">
        <v>1997</v>
      </c>
      <c r="B20">
        <v>5807.0095019709697</v>
      </c>
      <c r="C20">
        <v>7393.917813708963</v>
      </c>
    </row>
    <row r="21" spans="1:3" x14ac:dyDescent="0.2">
      <c r="A21">
        <v>1998</v>
      </c>
      <c r="B21">
        <v>6091.8768870360718</v>
      </c>
      <c r="C21">
        <v>7357.2908406673987</v>
      </c>
    </row>
    <row r="22" spans="1:3" x14ac:dyDescent="0.2">
      <c r="A22">
        <v>1999</v>
      </c>
      <c r="B22">
        <v>6546.2227990987003</v>
      </c>
      <c r="C22">
        <v>7647.6039587440828</v>
      </c>
    </row>
    <row r="23" spans="1:3" x14ac:dyDescent="0.2">
      <c r="A23">
        <v>2000</v>
      </c>
      <c r="B23">
        <v>6648.8144988709391</v>
      </c>
      <c r="C23">
        <v>8103.3994163639754</v>
      </c>
    </row>
    <row r="24" spans="1:3" x14ac:dyDescent="0.2">
      <c r="A24">
        <v>2001</v>
      </c>
      <c r="B24">
        <v>6794.9911793457422</v>
      </c>
      <c r="C24">
        <v>8577.757064655556</v>
      </c>
    </row>
    <row r="25" spans="1:3" x14ac:dyDescent="0.2">
      <c r="A25">
        <v>2002</v>
      </c>
      <c r="B25">
        <v>6873.8106908555228</v>
      </c>
      <c r="C25">
        <v>9308.6743663661055</v>
      </c>
    </row>
    <row r="26" spans="1:3" x14ac:dyDescent="0.2">
      <c r="A26">
        <v>2003</v>
      </c>
      <c r="B26">
        <v>7218.9043415442711</v>
      </c>
      <c r="C26">
        <v>9948.1306763150023</v>
      </c>
    </row>
    <row r="27" spans="1:3" x14ac:dyDescent="0.2">
      <c r="A27">
        <v>2004</v>
      </c>
      <c r="B27">
        <v>7582.367817447076</v>
      </c>
      <c r="C27">
        <v>10842.490440325824</v>
      </c>
    </row>
    <row r="28" spans="1:3" x14ac:dyDescent="0.2">
      <c r="A28">
        <v>2005</v>
      </c>
      <c r="B28">
        <v>8127.8428582136276</v>
      </c>
      <c r="C28">
        <v>11817.377836046737</v>
      </c>
    </row>
    <row r="29" spans="1:3" x14ac:dyDescent="0.2">
      <c r="A29">
        <v>2006</v>
      </c>
      <c r="B29">
        <v>8776.5712787354023</v>
      </c>
      <c r="C29">
        <v>13010.344558987388</v>
      </c>
    </row>
    <row r="30" spans="1:3" x14ac:dyDescent="0.2">
      <c r="A30">
        <v>2007</v>
      </c>
      <c r="B30">
        <v>9427.2059964395739</v>
      </c>
      <c r="C30">
        <v>14235.380658739985</v>
      </c>
    </row>
    <row r="31" spans="1:3" x14ac:dyDescent="0.2">
      <c r="A31">
        <v>2008</v>
      </c>
      <c r="B31">
        <v>9680.5726060234228</v>
      </c>
      <c r="C31">
        <v>14998.236959472501</v>
      </c>
    </row>
    <row r="32" spans="1:3" x14ac:dyDescent="0.2">
      <c r="A32">
        <v>2009</v>
      </c>
      <c r="B32">
        <v>10378.144271250861</v>
      </c>
      <c r="C32">
        <v>16173.667866893709</v>
      </c>
    </row>
    <row r="33" spans="1:3" x14ac:dyDescent="0.2">
      <c r="A33">
        <v>2010</v>
      </c>
      <c r="B33">
        <v>11168.97800514528</v>
      </c>
      <c r="C33">
        <v>17856.277466173135</v>
      </c>
    </row>
    <row r="34" spans="1:3" x14ac:dyDescent="0.2">
      <c r="A34">
        <v>2011</v>
      </c>
      <c r="B34">
        <v>11634.847640912309</v>
      </c>
      <c r="C34">
        <v>19010.035461702861</v>
      </c>
    </row>
    <row r="35" spans="1:3" x14ac:dyDescent="0.2">
      <c r="A35">
        <v>2012</v>
      </c>
      <c r="B35">
        <v>12331.932012269879</v>
      </c>
      <c r="C35">
        <v>19554.891389574765</v>
      </c>
    </row>
    <row r="36" spans="1:3" x14ac:dyDescent="0.2">
      <c r="A36">
        <v>2013</v>
      </c>
      <c r="B36">
        <v>12739.229548092238</v>
      </c>
      <c r="C36">
        <v>20920.210240106706</v>
      </c>
    </row>
    <row r="37" spans="1:3" x14ac:dyDescent="0.2">
      <c r="A37">
        <v>2014</v>
      </c>
      <c r="B37">
        <v>13705.039598183568</v>
      </c>
      <c r="C37">
        <v>22287.305603897668</v>
      </c>
    </row>
    <row r="38" spans="1:3" x14ac:dyDescent="0.2">
      <c r="A38">
        <v>2015</v>
      </c>
      <c r="B38">
        <v>14812.706729773779</v>
      </c>
      <c r="C38">
        <v>23049.463357599598</v>
      </c>
    </row>
    <row r="39" spans="1:3" x14ac:dyDescent="0.2">
      <c r="A39">
        <v>2016</v>
      </c>
      <c r="B39">
        <v>16026.108836625768</v>
      </c>
      <c r="C39">
        <v>23957.950216924539</v>
      </c>
    </row>
    <row r="40" spans="1:3" x14ac:dyDescent="0.2">
      <c r="A40">
        <v>2017</v>
      </c>
      <c r="B40">
        <v>17007.000041217034</v>
      </c>
      <c r="C40">
        <v>24632.385490456789</v>
      </c>
    </row>
    <row r="41" spans="1:3" x14ac:dyDescent="0.2">
      <c r="A41">
        <v>2018</v>
      </c>
      <c r="B41">
        <v>17904.933950085069</v>
      </c>
      <c r="C41">
        <v>24821.492768390573</v>
      </c>
    </row>
    <row r="42" spans="1:3" x14ac:dyDescent="0.2">
      <c r="A42">
        <v>2019</v>
      </c>
      <c r="B42">
        <v>18416.831668984032</v>
      </c>
      <c r="C42">
        <v>25752.437024600109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6D03-B1FE-9949-8325-8FA2B261739A}">
  <dimension ref="A1:C43"/>
  <sheetViews>
    <sheetView workbookViewId="0">
      <selection activeCell="E23" sqref="E23"/>
    </sheetView>
  </sheetViews>
  <sheetFormatPr baseColWidth="10" defaultRowHeight="15" x14ac:dyDescent="0.2"/>
  <sheetData>
    <row r="1" spans="1:3" x14ac:dyDescent="0.2">
      <c r="A1" s="1" t="s">
        <v>21</v>
      </c>
      <c r="B1" s="2" t="s">
        <v>20</v>
      </c>
      <c r="C1" s="1" t="s">
        <v>22</v>
      </c>
    </row>
    <row r="2" spans="1:3" x14ac:dyDescent="0.2">
      <c r="B2" s="2"/>
    </row>
    <row r="3" spans="1:3" ht="16" x14ac:dyDescent="0.25">
      <c r="A3">
        <v>1979</v>
      </c>
      <c r="B3" s="8">
        <v>97.041826096996274</v>
      </c>
      <c r="C3">
        <v>99.387127486006477</v>
      </c>
    </row>
    <row r="4" spans="1:3" ht="16" x14ac:dyDescent="0.25">
      <c r="A4">
        <v>1980</v>
      </c>
      <c r="B4" s="8">
        <v>100</v>
      </c>
      <c r="C4">
        <v>100</v>
      </c>
    </row>
    <row r="5" spans="1:3" ht="16" x14ac:dyDescent="0.25">
      <c r="A5">
        <v>1981</v>
      </c>
      <c r="B5" s="8">
        <v>102.65781076500467</v>
      </c>
      <c r="C5">
        <v>98.831599238757946</v>
      </c>
    </row>
    <row r="6" spans="1:3" ht="16" x14ac:dyDescent="0.25">
      <c r="A6">
        <v>1982</v>
      </c>
      <c r="B6" s="8">
        <v>102.85129862432383</v>
      </c>
      <c r="C6">
        <v>101.91586176120349</v>
      </c>
    </row>
    <row r="7" spans="1:3" ht="16" x14ac:dyDescent="0.25">
      <c r="A7">
        <v>1983</v>
      </c>
      <c r="B7" s="8">
        <v>106.79945657316942</v>
      </c>
      <c r="C7">
        <v>106.01764137836236</v>
      </c>
    </row>
    <row r="8" spans="1:3" ht="16" x14ac:dyDescent="0.25">
      <c r="A8">
        <v>1984</v>
      </c>
      <c r="B8" s="8">
        <v>107.47156285194454</v>
      </c>
      <c r="C8">
        <v>113.74678896015612</v>
      </c>
    </row>
    <row r="9" spans="1:3" ht="16" x14ac:dyDescent="0.25">
      <c r="A9">
        <v>1985</v>
      </c>
      <c r="B9" s="8">
        <v>109.70331960502817</v>
      </c>
      <c r="C9">
        <v>118.50078133749416</v>
      </c>
    </row>
    <row r="10" spans="1:3" ht="16" x14ac:dyDescent="0.25">
      <c r="A10">
        <v>1986</v>
      </c>
      <c r="B10" s="8">
        <v>111.24131175240204</v>
      </c>
      <c r="C10">
        <v>121.8932592377475</v>
      </c>
    </row>
    <row r="11" spans="1:3" ht="16" x14ac:dyDescent="0.25">
      <c r="A11">
        <v>1987</v>
      </c>
      <c r="B11" s="8">
        <v>111.79115217198468</v>
      </c>
      <c r="C11">
        <v>127.6939115570347</v>
      </c>
    </row>
    <row r="12" spans="1:3" ht="16" x14ac:dyDescent="0.25">
      <c r="A12">
        <v>1988</v>
      </c>
      <c r="B12" s="8">
        <v>118.59563543095754</v>
      </c>
      <c r="C12">
        <v>129.12992108992805</v>
      </c>
    </row>
    <row r="13" spans="1:3" ht="16" x14ac:dyDescent="0.25">
      <c r="A13">
        <v>1989</v>
      </c>
      <c r="B13" s="8">
        <v>121.52353957841856</v>
      </c>
      <c r="C13">
        <v>125.38291399141931</v>
      </c>
    </row>
    <row r="14" spans="1:3" ht="16" x14ac:dyDescent="0.25">
      <c r="A14">
        <v>1990</v>
      </c>
      <c r="B14" s="8">
        <v>123.7043307832004</v>
      </c>
      <c r="C14">
        <v>122.87533093495864</v>
      </c>
    </row>
    <row r="15" spans="1:3" ht="16" x14ac:dyDescent="0.25">
      <c r="A15">
        <v>1991</v>
      </c>
      <c r="B15" s="8">
        <v>121.21588580221139</v>
      </c>
      <c r="C15">
        <v>125.54498259438753</v>
      </c>
    </row>
    <row r="16" spans="1:3" ht="16" x14ac:dyDescent="0.25">
      <c r="A16">
        <v>1992</v>
      </c>
      <c r="B16" s="8">
        <v>123.7946451797866</v>
      </c>
      <c r="C16">
        <v>133.08008693616063</v>
      </c>
    </row>
    <row r="17" spans="1:3" ht="16" x14ac:dyDescent="0.25">
      <c r="A17">
        <v>1993</v>
      </c>
      <c r="B17" s="8">
        <v>125.78094332941615</v>
      </c>
      <c r="C17">
        <v>141.94190059618552</v>
      </c>
    </row>
    <row r="18" spans="1:3" ht="16" x14ac:dyDescent="0.25">
      <c r="A18">
        <v>1994</v>
      </c>
      <c r="B18" s="8">
        <v>131.0913743169526</v>
      </c>
      <c r="C18">
        <v>149.75295257555169</v>
      </c>
    </row>
    <row r="19" spans="1:3" ht="16" x14ac:dyDescent="0.25">
      <c r="A19">
        <v>1995</v>
      </c>
      <c r="B19" s="8">
        <v>137.86429539230261</v>
      </c>
      <c r="C19">
        <v>158.11443443645001</v>
      </c>
    </row>
    <row r="20" spans="1:3" ht="16" x14ac:dyDescent="0.25">
      <c r="A20">
        <v>1996</v>
      </c>
      <c r="B20" s="8">
        <v>144.97259313054758</v>
      </c>
      <c r="C20">
        <v>163.7713851554885</v>
      </c>
    </row>
    <row r="21" spans="1:3" ht="16" x14ac:dyDescent="0.25">
      <c r="A21">
        <v>1997</v>
      </c>
      <c r="B21" s="8">
        <v>147.28981478803425</v>
      </c>
      <c r="C21">
        <v>168.85853305606719</v>
      </c>
    </row>
    <row r="22" spans="1:3" ht="16" x14ac:dyDescent="0.25">
      <c r="A22">
        <v>1998</v>
      </c>
      <c r="B22" s="8">
        <v>152.52176568735146</v>
      </c>
      <c r="C22">
        <v>165.92668524605975</v>
      </c>
    </row>
    <row r="23" spans="1:3" ht="16" x14ac:dyDescent="0.25">
      <c r="A23">
        <v>1999</v>
      </c>
      <c r="B23" s="8">
        <v>161.17964421433004</v>
      </c>
      <c r="C23">
        <v>168.72195685856855</v>
      </c>
    </row>
    <row r="24" spans="1:3" ht="16" x14ac:dyDescent="0.25">
      <c r="A24">
        <v>2000</v>
      </c>
      <c r="B24" s="8">
        <v>162.06735678649272</v>
      </c>
      <c r="C24">
        <v>174.68481780017015</v>
      </c>
    </row>
    <row r="25" spans="1:3" ht="16" x14ac:dyDescent="0.25">
      <c r="A25">
        <v>2001</v>
      </c>
      <c r="B25" s="8">
        <v>163.42551197252322</v>
      </c>
      <c r="C25">
        <v>180.14153552891813</v>
      </c>
    </row>
    <row r="26" spans="1:3" ht="16" x14ac:dyDescent="0.25">
      <c r="A26">
        <v>2002</v>
      </c>
      <c r="B26" s="8">
        <v>163.64399549815701</v>
      </c>
      <c r="C26">
        <v>189.72692375546757</v>
      </c>
    </row>
    <row r="27" spans="1:3" ht="16" x14ac:dyDescent="0.25">
      <c r="A27">
        <v>2003</v>
      </c>
      <c r="B27" s="8">
        <v>170.16369220778168</v>
      </c>
      <c r="C27">
        <v>197.44457305758655</v>
      </c>
    </row>
    <row r="28" spans="1:3" ht="16" x14ac:dyDescent="0.25">
      <c r="A28">
        <v>2004</v>
      </c>
      <c r="B28" s="8">
        <v>176.64113565406538</v>
      </c>
      <c r="C28">
        <v>208.35501835172926</v>
      </c>
    </row>
    <row r="29" spans="1:3" ht="16" x14ac:dyDescent="0.25">
      <c r="A29">
        <v>2005</v>
      </c>
      <c r="B29" s="8">
        <v>185.4268518571765</v>
      </c>
      <c r="C29">
        <v>219.74423884551214</v>
      </c>
    </row>
    <row r="30" spans="1:3" ht="16" x14ac:dyDescent="0.25">
      <c r="A30">
        <v>2006</v>
      </c>
      <c r="B30" s="8">
        <v>195.31833447502055</v>
      </c>
      <c r="C30">
        <v>234.5523987922422</v>
      </c>
    </row>
    <row r="31" spans="1:3" ht="16" x14ac:dyDescent="0.25">
      <c r="A31">
        <v>2007</v>
      </c>
      <c r="B31" s="8">
        <v>204.27517081323984</v>
      </c>
      <c r="C31">
        <v>250.70804010983875</v>
      </c>
    </row>
    <row r="32" spans="1:3" ht="16" x14ac:dyDescent="0.25">
      <c r="A32">
        <v>2008</v>
      </c>
      <c r="B32" s="8">
        <v>204.88231219251873</v>
      </c>
      <c r="C32">
        <v>257.43946011010814</v>
      </c>
    </row>
    <row r="33" spans="1:3" ht="16" x14ac:dyDescent="0.25">
      <c r="A33">
        <v>2009</v>
      </c>
      <c r="B33" s="8">
        <v>214.64082461436641</v>
      </c>
      <c r="C33">
        <v>267.57078919016539</v>
      </c>
    </row>
    <row r="34" spans="1:3" ht="16" x14ac:dyDescent="0.25">
      <c r="A34">
        <v>2010</v>
      </c>
      <c r="B34" s="8">
        <v>225.5756915672325</v>
      </c>
      <c r="C34">
        <v>282.48771934208293</v>
      </c>
    </row>
    <row r="35" spans="1:3" ht="16" x14ac:dyDescent="0.25">
      <c r="A35">
        <v>2011</v>
      </c>
      <c r="B35" s="8">
        <v>229.41743769988295</v>
      </c>
      <c r="C35">
        <v>291.67152548073852</v>
      </c>
    </row>
    <row r="36" spans="1:3" ht="16" x14ac:dyDescent="0.25">
      <c r="A36">
        <v>2012</v>
      </c>
      <c r="B36" s="8">
        <v>236.64821314257568</v>
      </c>
      <c r="C36">
        <v>292.12207662774961</v>
      </c>
    </row>
    <row r="37" spans="1:3" ht="16" x14ac:dyDescent="0.25">
      <c r="A37">
        <v>2013</v>
      </c>
      <c r="B37" s="8">
        <v>241.63587235783862</v>
      </c>
      <c r="C37">
        <v>303.08015039325971</v>
      </c>
    </row>
    <row r="38" spans="1:3" ht="16" x14ac:dyDescent="0.25">
      <c r="A38">
        <v>2014</v>
      </c>
      <c r="B38" s="8">
        <v>254.58557228174729</v>
      </c>
      <c r="C38">
        <v>314.29354202670646</v>
      </c>
    </row>
    <row r="39" spans="1:3" ht="16" x14ac:dyDescent="0.25">
      <c r="A39">
        <v>2015</v>
      </c>
      <c r="B39" s="8">
        <v>269.58845561406139</v>
      </c>
      <c r="C39">
        <v>318.58780354102151</v>
      </c>
    </row>
    <row r="40" spans="1:3" ht="16" x14ac:dyDescent="0.25">
      <c r="A40">
        <v>2016</v>
      </c>
      <c r="B40" s="8">
        <v>285.88801405096166</v>
      </c>
      <c r="C40">
        <v>324.86898400945461</v>
      </c>
    </row>
    <row r="41" spans="1:3" ht="16" x14ac:dyDescent="0.25">
      <c r="A41">
        <v>2017</v>
      </c>
      <c r="B41" s="8">
        <v>298.11273416525853</v>
      </c>
      <c r="C41">
        <v>327.81150540518291</v>
      </c>
    </row>
    <row r="42" spans="1:3" ht="16" x14ac:dyDescent="0.25">
      <c r="A42">
        <v>2018</v>
      </c>
      <c r="B42" s="8">
        <v>308.16736937866182</v>
      </c>
      <c r="C42">
        <v>324.6095313434368</v>
      </c>
    </row>
    <row r="43" spans="1:3" ht="16" x14ac:dyDescent="0.25">
      <c r="A43">
        <v>2019</v>
      </c>
      <c r="B43" s="8">
        <v>312.75744437739377</v>
      </c>
      <c r="C43">
        <v>329.64921534683157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7490-0B6E-D142-A18D-FB314438A959}">
  <dimension ref="A1:C43"/>
  <sheetViews>
    <sheetView workbookViewId="0">
      <selection activeCell="M8" sqref="M8"/>
    </sheetView>
  </sheetViews>
  <sheetFormatPr baseColWidth="10" defaultRowHeight="15" x14ac:dyDescent="0.2"/>
  <sheetData>
    <row r="1" spans="1:3" x14ac:dyDescent="0.2">
      <c r="A1" s="1" t="s">
        <v>21</v>
      </c>
      <c r="B1" s="1" t="s">
        <v>24</v>
      </c>
      <c r="C1" s="1" t="s">
        <v>25</v>
      </c>
    </row>
    <row r="3" spans="1:3" x14ac:dyDescent="0.2">
      <c r="A3">
        <v>1979</v>
      </c>
      <c r="B3">
        <v>7.7422617442451214E-2</v>
      </c>
      <c r="C3">
        <v>0.11272835279139709</v>
      </c>
    </row>
    <row r="4" spans="1:3" x14ac:dyDescent="0.2">
      <c r="A4">
        <v>1980</v>
      </c>
      <c r="B4">
        <v>7.8991084011506063E-2</v>
      </c>
      <c r="C4">
        <v>0.11204220963414643</v>
      </c>
    </row>
    <row r="5" spans="1:3" x14ac:dyDescent="0.2">
      <c r="A5">
        <v>1981</v>
      </c>
      <c r="B5">
        <v>8.0386280182687384E-2</v>
      </c>
      <c r="C5">
        <v>0.11020799242607911</v>
      </c>
    </row>
    <row r="6" spans="1:3" x14ac:dyDescent="0.2">
      <c r="A6">
        <v>1982</v>
      </c>
      <c r="B6">
        <v>7.975547653800491E-2</v>
      </c>
      <c r="C6">
        <v>0.11172454363633805</v>
      </c>
    </row>
    <row r="7" spans="1:3" x14ac:dyDescent="0.2">
      <c r="A7">
        <v>1983</v>
      </c>
      <c r="B7">
        <v>8.1877562000787329E-2</v>
      </c>
      <c r="C7">
        <v>0.11510747882064498</v>
      </c>
    </row>
    <row r="8" spans="1:3" x14ac:dyDescent="0.2">
      <c r="A8">
        <v>1984</v>
      </c>
      <c r="B8">
        <v>8.1612676673612536E-2</v>
      </c>
      <c r="C8">
        <v>0.12204888998598273</v>
      </c>
    </row>
    <row r="9" spans="1:3" x14ac:dyDescent="0.2">
      <c r="A9">
        <v>1985</v>
      </c>
      <c r="B9">
        <v>8.2510358271037393E-2</v>
      </c>
      <c r="C9">
        <v>0.12547426693450386</v>
      </c>
    </row>
    <row r="10" spans="1:3" x14ac:dyDescent="0.2">
      <c r="A10">
        <v>1986</v>
      </c>
      <c r="B10">
        <v>8.2723422345189368E-2</v>
      </c>
      <c r="C10">
        <v>0.12548241712300101</v>
      </c>
    </row>
    <row r="11" spans="1:3" x14ac:dyDescent="0.2">
      <c r="A11">
        <v>1987</v>
      </c>
      <c r="B11">
        <v>8.1926535138584375E-2</v>
      </c>
      <c r="C11">
        <v>0.12850631137917137</v>
      </c>
    </row>
    <row r="12" spans="1:3" x14ac:dyDescent="0.2">
      <c r="A12">
        <v>1988</v>
      </c>
      <c r="B12">
        <v>8.5794160371762254E-2</v>
      </c>
      <c r="C12">
        <v>0.12929917855806961</v>
      </c>
    </row>
    <row r="13" spans="1:3" x14ac:dyDescent="0.2">
      <c r="A13">
        <v>1989</v>
      </c>
      <c r="B13">
        <v>8.6616415757500814E-2</v>
      </c>
      <c r="C13">
        <v>0.12652696926152335</v>
      </c>
    </row>
    <row r="14" spans="1:3" x14ac:dyDescent="0.2">
      <c r="A14">
        <v>1990</v>
      </c>
      <c r="B14">
        <v>8.6339723771063942E-2</v>
      </c>
      <c r="C14">
        <v>0.12548794116512429</v>
      </c>
    </row>
    <row r="15" spans="1:3" x14ac:dyDescent="0.2">
      <c r="A15">
        <v>1991</v>
      </c>
      <c r="B15">
        <v>8.3609912173351036E-2</v>
      </c>
      <c r="C15">
        <v>0.12876958735125527</v>
      </c>
    </row>
    <row r="16" spans="1:3" x14ac:dyDescent="0.2">
      <c r="A16">
        <v>1992</v>
      </c>
      <c r="B16">
        <v>8.4153735356534032E-2</v>
      </c>
      <c r="C16">
        <v>0.13494308749099623</v>
      </c>
    </row>
    <row r="17" spans="1:3" x14ac:dyDescent="0.2">
      <c r="A17">
        <v>1993</v>
      </c>
      <c r="B17">
        <v>8.4642266137770344E-2</v>
      </c>
      <c r="C17">
        <v>0.13701540545648416</v>
      </c>
    </row>
    <row r="18" spans="1:3" x14ac:dyDescent="0.2">
      <c r="A18">
        <v>1994</v>
      </c>
      <c r="B18">
        <v>8.6633373079283996E-2</v>
      </c>
      <c r="C18">
        <v>0.13866971931991764</v>
      </c>
    </row>
    <row r="19" spans="1:3" x14ac:dyDescent="0.2">
      <c r="A19">
        <v>1995</v>
      </c>
      <c r="B19">
        <v>8.8920579749302092E-2</v>
      </c>
      <c r="C19">
        <v>0.1384166564196434</v>
      </c>
    </row>
    <row r="20" spans="1:3" x14ac:dyDescent="0.2">
      <c r="A20">
        <v>1996</v>
      </c>
      <c r="B20">
        <v>9.1359373763451671E-2</v>
      </c>
      <c r="C20">
        <v>0.13641375548641749</v>
      </c>
    </row>
    <row r="21" spans="1:3" x14ac:dyDescent="0.2">
      <c r="A21">
        <v>1997</v>
      </c>
      <c r="B21">
        <v>9.0598117949252793E-2</v>
      </c>
      <c r="C21">
        <v>0.13679732296021133</v>
      </c>
    </row>
    <row r="22" spans="1:3" x14ac:dyDescent="0.2">
      <c r="A22">
        <v>1998</v>
      </c>
      <c r="B22">
        <v>9.1411184822303718E-2</v>
      </c>
      <c r="C22">
        <v>0.13109033194167255</v>
      </c>
    </row>
    <row r="23" spans="1:3" x14ac:dyDescent="0.2">
      <c r="A23">
        <v>1999</v>
      </c>
      <c r="B23">
        <v>9.3423280831871749E-2</v>
      </c>
      <c r="C23">
        <v>0.12756215070191124</v>
      </c>
    </row>
    <row r="24" spans="1:3" x14ac:dyDescent="0.2">
      <c r="A24">
        <v>2000</v>
      </c>
      <c r="B24">
        <v>9.2067068639453631E-2</v>
      </c>
      <c r="C24">
        <v>0.12609236554786329</v>
      </c>
    </row>
    <row r="25" spans="1:3" x14ac:dyDescent="0.2">
      <c r="A25">
        <v>2001</v>
      </c>
      <c r="B25">
        <v>9.0383232383055567E-2</v>
      </c>
      <c r="C25">
        <v>0.12341043892313698</v>
      </c>
    </row>
    <row r="26" spans="1:3" x14ac:dyDescent="0.2">
      <c r="A26">
        <v>2002</v>
      </c>
      <c r="B26">
        <v>8.8677040468441395E-2</v>
      </c>
      <c r="C26">
        <v>0.12242469173380967</v>
      </c>
    </row>
    <row r="27" spans="1:3" x14ac:dyDescent="0.2">
      <c r="A27">
        <v>2003</v>
      </c>
      <c r="B27">
        <v>9.0399125252234452E-2</v>
      </c>
      <c r="C27">
        <v>0.12081210214486895</v>
      </c>
    </row>
    <row r="28" spans="1:3" x14ac:dyDescent="0.2">
      <c r="A28">
        <v>2004</v>
      </c>
      <c r="B28">
        <v>9.1658331981007979E-2</v>
      </c>
      <c r="C28">
        <v>0.11951202356325299</v>
      </c>
    </row>
    <row r="29" spans="1:3" x14ac:dyDescent="0.2">
      <c r="A29">
        <v>2005</v>
      </c>
      <c r="B29">
        <v>9.2272731952247833E-2</v>
      </c>
      <c r="C29">
        <v>0.11802338073810961</v>
      </c>
    </row>
    <row r="30" spans="1:3" x14ac:dyDescent="0.2">
      <c r="A30">
        <v>2006</v>
      </c>
      <c r="B30">
        <v>9.2487995992731456E-2</v>
      </c>
      <c r="C30">
        <v>0.11841312435346259</v>
      </c>
    </row>
    <row r="31" spans="1:3" x14ac:dyDescent="0.2">
      <c r="A31">
        <v>2007</v>
      </c>
      <c r="B31">
        <v>9.1703698994458405E-2</v>
      </c>
      <c r="C31">
        <v>0.12078817405474609</v>
      </c>
    </row>
    <row r="32" spans="1:3" x14ac:dyDescent="0.2">
      <c r="A32">
        <v>2008</v>
      </c>
      <c r="B32">
        <v>8.7743995799239818E-2</v>
      </c>
      <c r="C32">
        <v>0.11781558025817454</v>
      </c>
    </row>
    <row r="33" spans="1:3" x14ac:dyDescent="0.2">
      <c r="A33">
        <v>2009</v>
      </c>
      <c r="B33">
        <v>8.7781637510693011E-2</v>
      </c>
      <c r="C33">
        <v>0.11375142819166967</v>
      </c>
    </row>
    <row r="34" spans="1:3" x14ac:dyDescent="0.2">
      <c r="A34">
        <v>2010</v>
      </c>
      <c r="B34">
        <v>8.7974361229887124E-2</v>
      </c>
      <c r="C34">
        <v>0.10981828719660133</v>
      </c>
    </row>
    <row r="35" spans="1:3" x14ac:dyDescent="0.2">
      <c r="A35">
        <v>2011</v>
      </c>
      <c r="B35">
        <v>8.5283295667786932E-2</v>
      </c>
      <c r="C35">
        <v>0.10665323805297799</v>
      </c>
    </row>
    <row r="36" spans="1:3" x14ac:dyDescent="0.2">
      <c r="A36">
        <v>2012</v>
      </c>
      <c r="B36">
        <v>8.3320822105584974E-2</v>
      </c>
      <c r="C36">
        <v>0.10126051264749632</v>
      </c>
    </row>
    <row r="37" spans="1:3" x14ac:dyDescent="0.2">
      <c r="A37">
        <v>2013</v>
      </c>
      <c r="B37">
        <v>8.3119706302072938E-2</v>
      </c>
      <c r="C37">
        <v>9.8809384284038182E-2</v>
      </c>
    </row>
    <row r="38" spans="1:3" x14ac:dyDescent="0.2">
      <c r="A38">
        <v>2014</v>
      </c>
      <c r="B38">
        <v>8.399373147621586E-2</v>
      </c>
      <c r="C38">
        <v>9.7084307273037684E-2</v>
      </c>
    </row>
    <row r="39" spans="1:3" x14ac:dyDescent="0.2">
      <c r="A39">
        <v>2015</v>
      </c>
      <c r="B39">
        <v>8.5377046005282078E-2</v>
      </c>
      <c r="C39">
        <v>9.4541742045317192E-2</v>
      </c>
    </row>
    <row r="40" spans="1:3" x14ac:dyDescent="0.2">
      <c r="A40">
        <v>2016</v>
      </c>
      <c r="B40">
        <v>8.6983678305395939E-2</v>
      </c>
      <c r="C40">
        <v>9.2786167057208435E-2</v>
      </c>
    </row>
    <row r="41" spans="1:3" x14ac:dyDescent="0.2">
      <c r="A41">
        <v>2017</v>
      </c>
      <c r="B41">
        <v>8.7577442549948051E-2</v>
      </c>
      <c r="C41">
        <v>9.0181495237598913E-2</v>
      </c>
    </row>
    <row r="42" spans="1:3" x14ac:dyDescent="0.2">
      <c r="A42">
        <v>2018</v>
      </c>
      <c r="B42">
        <v>8.7281179743638637E-2</v>
      </c>
      <c r="C42">
        <v>8.6235445279340989E-2</v>
      </c>
    </row>
    <row r="43" spans="1:3" x14ac:dyDescent="0.2">
      <c r="A43">
        <v>2019</v>
      </c>
      <c r="B43">
        <v>8.6238110213458619E-2</v>
      </c>
      <c r="C43">
        <v>8.3902957900576086E-2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China and Brazil</vt:lpstr>
      <vt:lpstr>Chart</vt:lpstr>
      <vt:lpstr>GDP</vt:lpstr>
      <vt:lpstr>TFP</vt:lpstr>
      <vt:lpstr>MPK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Stern User</dc:creator>
  <cp:lastModifiedBy>Claire Zhao</cp:lastModifiedBy>
  <dcterms:created xsi:type="dcterms:W3CDTF">2016-02-16T18:55:27Z</dcterms:created>
  <dcterms:modified xsi:type="dcterms:W3CDTF">2026-02-24T22:43:05Z</dcterms:modified>
</cp:coreProperties>
</file>