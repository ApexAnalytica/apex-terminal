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Network_Summary" sheetId="2" state="visible" r:id="rId2"/>
    <sheet xmlns:r="http://schemas.openxmlformats.org/officeDocument/2006/relationships" name="SlowLane_Nodes" sheetId="3" state="visible" r:id="rId3"/>
    <sheet xmlns:r="http://schemas.openxmlformats.org/officeDocument/2006/relationships" name="SlowLane_Edges" sheetId="4" state="visible" r:id="rId4"/>
    <sheet xmlns:r="http://schemas.openxmlformats.org/officeDocument/2006/relationships" name="FastLane_Operations" sheetId="5" state="visible" r:id="rId5"/>
    <sheet xmlns:r="http://schemas.openxmlformats.org/officeDocument/2006/relationships" name="FastLane_Prices_PinkSheet" sheetId="6" state="visible" r:id="rId6"/>
    <sheet xmlns:r="http://schemas.openxmlformats.org/officeDocument/2006/relationships" name="FastLane_FAOSTAT_Schema" sheetId="7" state="visible" r:id="rId7"/>
    <sheet xmlns:r="http://schemas.openxmlformats.org/officeDocument/2006/relationships" name="Source_Catalog" sheetId="8" state="visible" r:id="rId8"/>
    <sheet xmlns:r="http://schemas.openxmlformats.org/officeDocument/2006/relationships" name="SlowLane_CaseStudi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sz val="12"/>
    </font>
    <font>
      <sz val="11"/>
    </font>
    <font>
      <b val="1"/>
      <color rgb="00FFFFFF"/>
    </font>
    <font>
      <b val="1"/>
      <color rgb="001F4E79"/>
    </font>
    <font>
      <b val="1"/>
      <color rgb="001F4E79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SlowNodes" displayName="tblSlowNodes" ref="A1:R5" headerRowCount="1">
  <autoFilter ref="A1:R5"/>
  <tableColumns count="18">
    <tableColumn id="1" name="node_id"/>
    <tableColumn id="2" name="name"/>
    <tableColumn id="3" name="node_type"/>
    <tableColumn id="4" name="product_type"/>
    <tableColumn id="5" name="location_city"/>
    <tableColumn id="6" name="location_country"/>
    <tableColumn id="7" name="operator/owner"/>
    <tableColumn id="8" name="annual_capacity_mtpy"/>
    <tableColumn id="9" name="actual_output_mt (latest)"/>
    <tableColumn id="10" name="actual_year"/>
    <tableColumn id="11" name="feedstock_source"/>
    <tableColumn id="12" name="shipping_route"/>
    <tableColumn id="13" name="export_destinations"/>
    <tableColumn id="14" name="market_share"/>
    <tableColumn id="15" name="downstream_dependencies"/>
    <tableColumn id="16" name="vulnerability_notes"/>
    <tableColumn id="17" name="source_url"/>
    <tableColumn id="18" name="source_notes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SlowEdges" displayName="tblSlowEdges" ref="A1:G6" headerRowCount="1">
  <autoFilter ref="A1:G6"/>
  <tableColumns count="7">
    <tableColumn id="1" name="edge_id"/>
    <tableColumn id="2" name="from_node_id"/>
    <tableColumn id="3" name="to_node_id"/>
    <tableColumn id="4" name="edge_type"/>
    <tableColumn id="5" name="mechanism"/>
    <tableColumn id="6" name="evidence"/>
    <tableColumn id="7" name="source_url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Ops" displayName="tblOps" ref="A1:H10" headerRowCount="1">
  <autoFilter ref="A1:H10"/>
  <tableColumns count="8">
    <tableColumn id="1" name="metric_id"/>
    <tableColumn id="2" name="metric_name"/>
    <tableColumn id="3" name="product"/>
    <tableColumn id="4" name="unit"/>
    <tableColumn id="5" name="year"/>
    <tableColumn id="6" name="value"/>
    <tableColumn id="7" name="notes"/>
    <tableColumn id="8" name="source_url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PinkSheet" displayName="tblPinkSheet" ref="A1:N8" headerRowCount="1">
  <autoFilter ref="A1:N8"/>
  <tableColumns count="14">
    <tableColumn id="1" name="series"/>
    <tableColumn id="2" name="unit"/>
    <tableColumn id="3" name="2023_annual"/>
    <tableColumn id="4" name="2024_annual"/>
    <tableColumn id="5" name="2025_annual"/>
    <tableColumn id="6" name="2024_Q4"/>
    <tableColumn id="7" name="2025_Q1"/>
    <tableColumn id="8" name="2025_Q2"/>
    <tableColumn id="9" name="2025_Q3"/>
    <tableColumn id="10" name="2025_Q4"/>
    <tableColumn id="11" name="2025_Dec"/>
    <tableColumn id="12" name="2026_Jan"/>
    <tableColumn id="13" name="2026_Feb"/>
    <tableColumn id="14" name="source_url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blSources" displayName="tblSources" ref="A1:H8" headerRowCount="1">
  <autoFilter ref="A1:H8"/>
  <tableColumns count="8">
    <tableColumn id="1" name="source_id"/>
    <tableColumn id="2" name="source_type"/>
    <tableColumn id="3" name="title"/>
    <tableColumn id="4" name="publisher"/>
    <tableColumn id="5" name="year"/>
    <tableColumn id="6" name="url"/>
    <tableColumn id="7" name="used_in_sheets"/>
    <tableColumn id="8" name="notes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QAFCO — Category 3: Fertilizer &amp; Agrochemical Supply (Fast Lane + Slow Lane)</t>
        </is>
      </c>
    </row>
    <row r="3">
      <c r="A3" s="2" t="inlineStr">
        <is>
          <t>How to use this workbook</t>
        </is>
      </c>
    </row>
    <row r="4" ht="90" customHeight="1">
      <c r="A4" s="3" t="inlineStr">
        <is>
          <t>• Slow Lane sheets capture structural nodes/edges for causal mapping (facilities, feedstock, routes, dependencies).
• Fast Lane sheets capture time-series metrics (prices, production/export metrics) usable for MVP dashboards.
• All rows include a source_url and notes for traceability.</t>
        </is>
      </c>
    </row>
    <row r="6">
      <c r="A6" s="2" t="inlineStr">
        <is>
          <t>Key schema fields (from Apex Data Collection Guide)</t>
        </is>
      </c>
    </row>
    <row r="7">
      <c r="A7" s="4" t="inlineStr">
        <is>
          <t>name, product_type, annual_capacity, export_destinations, feedstock_source, shipping_route, market_share (+ vulnerability_notes, downstream_dependencies).</t>
        </is>
      </c>
    </row>
    <row r="8">
      <c r="A8" t="inlineStr">
        <is>
          <t>Expanded in March 2026: added supporting logistics, chokepoint, importer-market, and downstream chemical nodes; expanded edge density; added case studies and more multi-year operating metrics.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40" customWidth="1" min="3" max="3"/>
  </cols>
  <sheetData>
    <row r="1">
      <c r="A1" s="5" t="inlineStr">
        <is>
          <t>Expanded network coverage summary</t>
        </is>
      </c>
    </row>
    <row r="2">
      <c r="A2" s="5" t="inlineStr">
        <is>
          <t>Metric</t>
        </is>
      </c>
      <c r="B2" s="5" t="inlineStr">
        <is>
          <t>Count</t>
        </is>
      </c>
      <c r="C2" s="5" t="inlineStr">
        <is>
          <t>Notes</t>
        </is>
      </c>
    </row>
    <row r="3">
      <c r="A3" s="6" t="inlineStr">
        <is>
          <t>Slow-lane nodes</t>
        </is>
      </c>
      <c r="B3" s="6" t="n">
        <v>19</v>
      </c>
      <c r="C3" s="6" t="inlineStr">
        <is>
          <t>Includes plant, product, logistics, chokepoint, market, and macro-outcome nodes</t>
        </is>
      </c>
    </row>
    <row r="4">
      <c r="A4" s="6" t="inlineStr">
        <is>
          <t>Slow-lane edges</t>
        </is>
      </c>
      <c r="B4" s="6" t="n">
        <v>29</v>
      </c>
      <c r="C4" s="6" t="inlineStr">
        <is>
          <t>Includes feedstock, conversion, ownership, logistics, market, and shock-transmission edges</t>
        </is>
      </c>
    </row>
    <row r="5">
      <c r="A5" s="6" t="inlineStr">
        <is>
          <t>Case studies</t>
        </is>
      </c>
      <c r="B5" s="6" t="n">
        <v>6</v>
      </c>
      <c r="C5" s="6" t="inlineStr">
        <is>
          <t>Historical and forward-looking examples for causal mapping</t>
        </is>
      </c>
    </row>
    <row r="6">
      <c r="A6" s="6" t="inlineStr">
        <is>
          <t>Fast-lane metrics</t>
        </is>
      </c>
      <c r="B6" s="6" t="n">
        <v>20</v>
      </c>
      <c r="C6" s="6" t="inlineStr">
        <is>
          <t>Company operations, capacities, exports, and market-share signals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0" customWidth="1" min="2" max="2"/>
    <col width="29" customWidth="1" min="3" max="3"/>
    <col width="40" customWidth="1" min="4" max="4"/>
    <col width="29" customWidth="1" min="5" max="5"/>
    <col width="18" customWidth="1" min="6" max="6"/>
    <col width="40" customWidth="1" min="7" max="7"/>
    <col width="22" customWidth="1" min="8" max="8"/>
    <col width="27" customWidth="1" min="9" max="9"/>
    <col width="13" customWidth="1" min="10" max="10"/>
    <col width="40" customWidth="1" min="11" max="11"/>
    <col width="40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</cols>
  <sheetData>
    <row r="1">
      <c r="A1" s="5" t="inlineStr">
        <is>
          <t>node_id</t>
        </is>
      </c>
      <c r="B1" s="5" t="inlineStr">
        <is>
          <t>name</t>
        </is>
      </c>
      <c r="C1" s="5" t="inlineStr">
        <is>
          <t>node_type</t>
        </is>
      </c>
      <c r="D1" s="5" t="inlineStr">
        <is>
          <t>product_type</t>
        </is>
      </c>
      <c r="E1" s="5" t="inlineStr">
        <is>
          <t>location_city</t>
        </is>
      </c>
      <c r="F1" s="5" t="inlineStr">
        <is>
          <t>location_country</t>
        </is>
      </c>
      <c r="G1" s="5" t="inlineStr">
        <is>
          <t>operator/owner</t>
        </is>
      </c>
      <c r="H1" s="5" t="inlineStr">
        <is>
          <t>annual_capacity_mtpy</t>
        </is>
      </c>
      <c r="I1" s="5" t="inlineStr">
        <is>
          <t>actual_output_mt (latest)</t>
        </is>
      </c>
      <c r="J1" s="5" t="inlineStr">
        <is>
          <t>actual_year</t>
        </is>
      </c>
      <c r="K1" s="5" t="inlineStr">
        <is>
          <t>feedstock_source</t>
        </is>
      </c>
      <c r="L1" s="5" t="inlineStr">
        <is>
          <t>shipping_route</t>
        </is>
      </c>
      <c r="M1" s="5" t="inlineStr">
        <is>
          <t>export_destinations</t>
        </is>
      </c>
      <c r="N1" s="5" t="inlineStr">
        <is>
          <t>market_share</t>
        </is>
      </c>
      <c r="O1" s="5" t="inlineStr">
        <is>
          <t>downstream_dependencies</t>
        </is>
      </c>
      <c r="P1" s="5" t="inlineStr">
        <is>
          <t>vulnerability_notes</t>
        </is>
      </c>
      <c r="Q1" s="5" t="inlineStr">
        <is>
          <t>source_url</t>
        </is>
      </c>
      <c r="R1" s="5" t="inlineStr">
        <is>
          <t>source_notes</t>
        </is>
      </c>
    </row>
    <row r="2">
      <c r="A2" s="6" t="inlineStr">
        <is>
          <t>QAFCO_COMPLEX</t>
        </is>
      </c>
      <c r="B2" s="6" t="inlineStr">
        <is>
          <t>Qatar Fertiliser Company (QAFCO) — Mesaieed ammonia &amp; urea complex</t>
        </is>
      </c>
      <c r="C2" s="6" t="inlineStr">
        <is>
          <t>producer_complex</t>
        </is>
      </c>
      <c r="D2" s="6" t="inlineStr">
        <is>
          <t>Urea; Ammonia (plus downstream: melamine, UFC)</t>
        </is>
      </c>
      <c r="E2" s="6" t="inlineStr">
        <is>
          <t>Mesaieed Industrial City</t>
        </is>
      </c>
      <c r="F2" s="6" t="inlineStr">
        <is>
          <t>Qatar</t>
        </is>
      </c>
      <c r="G2" s="6" t="inlineStr">
        <is>
          <t>Industries Qatar (IQ); aligned with QatarEnergy</t>
        </is>
      </c>
      <c r="H2" s="6" t="n">
        <v>5600000</v>
      </c>
      <c r="I2" s="6" t="n">
        <v>5820000</v>
      </c>
      <c r="J2" s="6" t="n">
        <v>2024</v>
      </c>
      <c r="K2" s="6" t="inlineStr">
        <is>
          <t>Natural gas supplied via QatarEnergy (North Field gas as upstream source)</t>
        </is>
      </c>
      <c r="L2" s="6" t="inlineStr">
        <is>
          <t>Persian Gulf → Strait of Hormuz → Arabian Sea (primary export route)</t>
        </is>
      </c>
      <c r="M2" s="6" t="inlineStr">
        <is>
          <t>Australia; United States; India (example territories served)</t>
        </is>
      </c>
      <c r="N2" s="6" t="inlineStr">
        <is>
          <t>Up to ~14% of global urea supply (single-site exporter claim)</t>
        </is>
      </c>
      <c r="O2" s="6" t="inlineStr">
        <is>
          <t>Fertilizer supply → crop yields → food prices; gas price &amp; supply disruptions transmit into fertilizer output/costs</t>
        </is>
      </c>
      <c r="P2" s="6" t="inlineStr">
        <is>
          <t>Exposure to gas supply disruptions; export chokepoint risk (Strait of Hormuz); carbon regulation risk (CBAM) and emissions intensity; single-site concentration risk</t>
        </is>
      </c>
      <c r="Q2" s="6" t="inlineStr">
        <is>
          <t>https://www.qafco.qa/our-plants/ ; https://www.qafco.qa/about-us/ ; https://www.qafco.qa/wp-content/uploads/2025/07/QAFCO-2024-ESG-Report.pdf</t>
        </is>
      </c>
      <c r="R2" s="6" t="inlineStr">
        <is>
          <t>Capacity and served territories from QAFCO site; 2024 output/export records and feedstock note from 2024 ESG report.</t>
        </is>
      </c>
    </row>
    <row r="3">
      <c r="A3" s="6" t="inlineStr">
        <is>
          <t>QAFCO7_BLUE_AMMONIA</t>
        </is>
      </c>
      <c r="B3" s="6" t="inlineStr">
        <is>
          <t>QAFCO-7 (Blue Ammonia Project) — new ammonia train with CCS (planned)</t>
        </is>
      </c>
      <c r="C3" s="6" t="inlineStr">
        <is>
          <t>facility_project</t>
        </is>
      </c>
      <c r="D3" s="6" t="inlineStr">
        <is>
          <t>Ammonia (blue/low-carbon)</t>
        </is>
      </c>
      <c r="E3" s="6" t="inlineStr">
        <is>
          <t>Mesaieed Industrial City</t>
        </is>
      </c>
      <c r="F3" s="6" t="inlineStr">
        <is>
          <t>Qatar</t>
        </is>
      </c>
      <c r="G3" s="6" t="inlineStr">
        <is>
          <t>QAFCO / QatarEnergy-guided sector</t>
        </is>
      </c>
      <c r="H3" s="6" t="n">
        <v>1200000</v>
      </c>
      <c r="I3" s="6" t="n"/>
      <c r="J3" s="6" t="n"/>
      <c r="K3" s="6" t="inlineStr">
        <is>
          <t>Natural gas via QatarEnergy; CCS planned to capture ~70% of CO2 emissions (project design)</t>
        </is>
      </c>
      <c r="L3" s="6" t="inlineStr">
        <is>
          <t>Persian Gulf → Strait of Hormuz</t>
        </is>
      </c>
      <c r="M3" s="6" t="inlineStr">
        <is>
          <t>TBD (export markets; likely EU/Asia for low-carbon ammonia)</t>
        </is>
      </c>
      <c r="N3" s="6" t="n"/>
      <c r="O3" s="6" t="inlineStr">
        <is>
          <t>Low-carbon ammonia supports fertilizer value chain and industrial users; links to carbon policy &amp; green premiums</t>
        </is>
      </c>
      <c r="P3" s="6" t="inlineStr">
        <is>
          <t>Schedule risk (mid-2026 start target); CCS performance risk; policy/market risk for low-carbon ammonia premiums</t>
        </is>
      </c>
      <c r="Q3" s="6" t="inlineStr">
        <is>
          <t>https://www.qafco.qa/wp-content/uploads/2025/07/QAFCO-2024-ESG-Report.pdf</t>
        </is>
      </c>
      <c r="R3" s="6" t="inlineStr">
        <is>
          <t>Project capacity and CCS capture share referenced in ESG report.</t>
        </is>
      </c>
    </row>
    <row r="4">
      <c r="A4" s="6" t="inlineStr">
        <is>
          <t>QATAR_ENERGY_FEEDSTOCK</t>
        </is>
      </c>
      <c r="B4" s="6" t="inlineStr">
        <is>
          <t>QatarEnergy — natural gas supplier (feedstock provider)</t>
        </is>
      </c>
      <c r="C4" s="6" t="inlineStr">
        <is>
          <t>upstream_feedstock_provider</t>
        </is>
      </c>
      <c r="D4" s="6" t="inlineStr">
        <is>
          <t>Natural gas (ammonia feedstock)</t>
        </is>
      </c>
      <c r="E4" s="6" t="inlineStr">
        <is>
          <t>Doha (HQ) / upstream fields</t>
        </is>
      </c>
      <c r="F4" s="6" t="inlineStr">
        <is>
          <t>Qatar</t>
        </is>
      </c>
      <c r="G4" s="6" t="inlineStr">
        <is>
          <t>State-owned QatarEnergy</t>
        </is>
      </c>
      <c r="H4" s="6" t="n"/>
      <c r="I4" s="6" t="n"/>
      <c r="J4" s="6" t="n"/>
      <c r="K4" s="6" t="inlineStr">
        <is>
          <t>North Field gas (upstream source) → delivered as feedstock</t>
        </is>
      </c>
      <c r="L4" s="6" t="inlineStr">
        <is>
          <t>N/A (pipeline/industrial delivery to Mesaieed)</t>
        </is>
      </c>
      <c r="M4" s="6" t="inlineStr">
        <is>
          <t>N/A</t>
        </is>
      </c>
      <c r="N4" s="6" t="n"/>
      <c r="O4" s="6" t="inlineStr">
        <is>
          <t>Gas supply disruption → ammonia/urea production halt; gas price spike → fertilizer cost spike</t>
        </is>
      </c>
      <c r="P4" s="6" t="inlineStr">
        <is>
          <t>Upstream infrastructure disruption; geopolitical risk; price volatility</t>
        </is>
      </c>
      <c r="Q4" s="6" t="inlineStr">
        <is>
          <t>https://www.qafco.qa/wp-content/uploads/2025/07/QAFCO-2024-ESG-Report.pdf</t>
        </is>
      </c>
      <c r="R4" s="6" t="inlineStr">
        <is>
          <t>ESG report states QAFCO obtains natural gas from QatarEnergy.</t>
        </is>
      </c>
    </row>
    <row r="5">
      <c r="A5" s="6" t="inlineStr">
        <is>
          <t>NORTH_FIELD_GAS</t>
        </is>
      </c>
      <c r="B5" s="6" t="inlineStr">
        <is>
          <t>Qatar North Field natural gas resource</t>
        </is>
      </c>
      <c r="C5" s="6" t="inlineStr">
        <is>
          <t>upstream_feedstock_resource</t>
        </is>
      </c>
      <c r="D5" s="6" t="inlineStr">
        <is>
          <t>Natural gas</t>
        </is>
      </c>
      <c r="E5" s="6" t="inlineStr">
        <is>
          <t>Offshore northeast Qatar</t>
        </is>
      </c>
      <c r="F5" s="6" t="inlineStr">
        <is>
          <t>Qatar</t>
        </is>
      </c>
      <c r="G5" s="6" t="inlineStr">
        <is>
          <t>QatarEnergy</t>
        </is>
      </c>
      <c r="H5" s="6" t="n"/>
      <c r="I5" s="6" t="n"/>
      <c r="J5" s="6" t="n"/>
      <c r="K5" s="6" t="inlineStr">
        <is>
          <t>Shared North Field resource</t>
        </is>
      </c>
      <c r="L5" s="6" t="inlineStr">
        <is>
          <t>Via Mesaieed export chain / domestic pipelines</t>
        </is>
      </c>
      <c r="M5" s="6" t="n"/>
      <c r="N5" s="6" t="n"/>
      <c r="O5" s="6" t="inlineStr">
        <is>
          <t>Primary feedstock base for ammonia synthesis at QAFCO and other gas-based industries in Qatar.</t>
        </is>
      </c>
      <c r="P5" s="6" t="inlineStr">
        <is>
          <t>Offshore geopolitical risk; upstream disruptions or gas curtailment would hit ammonia economics and fertilizer output.</t>
        </is>
      </c>
      <c r="Q5" s="6" t="inlineStr">
        <is>
          <t>https://www.qatarenergylng.qa/english/About-Us/North-Field</t>
        </is>
      </c>
      <c r="R5" s="6" t="inlineStr">
        <is>
          <t>QatarEnergy LNG says North Field is the world’s largest non-associated gas field with &gt;900 TSCF recoverable reserves.</t>
        </is>
      </c>
    </row>
    <row r="6">
      <c r="A6" s="6" t="inlineStr">
        <is>
          <t>MESAIEED_INDUSTRIAL_CITY</t>
        </is>
      </c>
      <c r="B6" s="6" t="inlineStr">
        <is>
          <t>Mesaieed Industrial City (MIC)</t>
        </is>
      </c>
      <c r="C6" s="6" t="inlineStr">
        <is>
          <t>industrial_cluster</t>
        </is>
      </c>
      <c r="D6" s="6" t="inlineStr">
        <is>
          <t>Ammonia; Urea; Petrochemicals; Steel</t>
        </is>
      </c>
      <c r="E6" s="6" t="inlineStr">
        <is>
          <t>Mesaieed</t>
        </is>
      </c>
      <c r="F6" s="6" t="inlineStr">
        <is>
          <t>Qatar</t>
        </is>
      </c>
      <c r="G6" s="6" t="inlineStr">
        <is>
          <t>QatarEnergy / MIC operators</t>
        </is>
      </c>
      <c r="H6" s="6" t="n"/>
      <c r="I6" s="6" t="n"/>
      <c r="J6" s="6" t="n"/>
      <c r="K6" s="6" t="inlineStr">
        <is>
          <t>North Field gas and industrial utilities</t>
        </is>
      </c>
      <c r="L6" s="6" t="inlineStr">
        <is>
          <t>Via Port of Mesaieed and Gulf shipping lanes</t>
        </is>
      </c>
      <c r="M6" s="6" t="n"/>
      <c r="N6" s="6" t="n"/>
      <c r="O6" s="6" t="inlineStr">
        <is>
          <t>Hosts QAFCO production complex, related utilities, storage and export infrastructure.</t>
        </is>
      </c>
      <c r="P6" s="6" t="inlineStr">
        <is>
          <t>Industrial concentration risk; weather, utilities failure, labor/safety incidents, or conflict spillovers can affect multiple plants at once.</t>
        </is>
      </c>
      <c r="Q6" s="6" t="inlineStr">
        <is>
          <t>https://www.qafco.qa/en/</t>
        </is>
      </c>
      <c r="R6" s="6" t="inlineStr">
        <is>
          <t>QAFCO is headquartered/operates in Mesaieed; MIC is the broader industrial cluster where QAFCO and downstream entities are based.</t>
        </is>
      </c>
    </row>
    <row r="7">
      <c r="A7" s="6" t="inlineStr">
        <is>
          <t>MESAIEED_PORT</t>
        </is>
      </c>
      <c r="B7" s="6" t="inlineStr">
        <is>
          <t>Port of Mesaieed export gateway</t>
        </is>
      </c>
      <c r="C7" s="6" t="inlineStr">
        <is>
          <t>export_logistics_node</t>
        </is>
      </c>
      <c r="D7" s="6" t="inlineStr">
        <is>
          <t>Bulk fertilizer exports; industrial cargo</t>
        </is>
      </c>
      <c r="E7" s="6" t="inlineStr">
        <is>
          <t>Mesaieed</t>
        </is>
      </c>
      <c r="F7" s="6" t="inlineStr">
        <is>
          <t>Qatar</t>
        </is>
      </c>
      <c r="G7" s="6" t="inlineStr">
        <is>
          <t>QatarEnergy / Mesaieed Port</t>
        </is>
      </c>
      <c r="H7" s="6" t="n"/>
      <c r="I7" s="6" t="n"/>
      <c r="J7" s="6" t="n"/>
      <c r="K7" s="6" t="inlineStr">
        <is>
          <t>QAFCO production complex and MIC cargo flows</t>
        </is>
      </c>
      <c r="L7" s="6" t="inlineStr">
        <is>
          <t>Gulf sea lanes via Strait of Hormuz</t>
        </is>
      </c>
      <c r="M7" s="6" t="inlineStr">
        <is>
          <t>Global fertilizer buyers</t>
        </is>
      </c>
      <c r="N7" s="6" t="n"/>
      <c r="O7" s="6" t="inlineStr">
        <is>
          <t>Primary export gateway for QAFCO bulk and bagged product shipments.</t>
        </is>
      </c>
      <c r="P7" s="6" t="inlineStr">
        <is>
          <t>Port congestion, vessel availability, conflict insurance spikes, or chokepoint closures can delay exports and tighten global fertilizer supply.</t>
        </is>
      </c>
      <c r="Q7" s="6" t="inlineStr">
        <is>
          <t>https://www.mesaieedport.qatarenergy.qa/</t>
        </is>
      </c>
      <c r="R7" s="6" t="inlineStr">
        <is>
          <t>Port of Mesaieed page notes fertilizer exports have been part of the port system since QAFCO began production in 1974.</t>
        </is>
      </c>
    </row>
    <row r="8">
      <c r="A8" s="6" t="inlineStr">
        <is>
          <t>QAFCO_UREA_PRODUCT</t>
        </is>
      </c>
      <c r="B8" s="6" t="inlineStr">
        <is>
          <t>QAFCO urea product stream</t>
        </is>
      </c>
      <c r="C8" s="6" t="inlineStr">
        <is>
          <t>product_stream</t>
        </is>
      </c>
      <c r="D8" s="6" t="inlineStr">
        <is>
          <t>Urea</t>
        </is>
      </c>
      <c r="E8" s="6" t="inlineStr">
        <is>
          <t>Mesaieed Industrial City</t>
        </is>
      </c>
      <c r="F8" s="6" t="inlineStr">
        <is>
          <t>Qatar</t>
        </is>
      </c>
      <c r="G8" s="6" t="inlineStr">
        <is>
          <t>QAFCO</t>
        </is>
      </c>
      <c r="H8" s="6" t="n">
        <v>5800000</v>
      </c>
      <c r="I8" s="6" t="n">
        <v>5820000</v>
      </c>
      <c r="J8" s="6" t="n">
        <v>2024</v>
      </c>
      <c r="K8" s="6" t="inlineStr">
        <is>
          <t>Ammonia from QAFCO ammonia plants</t>
        </is>
      </c>
      <c r="L8" s="6" t="inlineStr">
        <is>
          <t>Mesaieed Port -&gt; Strait of Hormuz -&gt; Asia / Americas / Africa</t>
        </is>
      </c>
      <c r="M8" s="6" t="inlineStr">
        <is>
          <t>Australia; USA; India; &gt;35-country customer base</t>
        </is>
      </c>
      <c r="N8" s="6" t="inlineStr">
        <is>
          <t>up to 14% of world traded urea supply / ~14% of world supply</t>
        </is>
      </c>
      <c r="O8" s="6" t="inlineStr">
        <is>
          <t>Core export product; directly linked to crop nutrient supply and farm input affordability.</t>
        </is>
      </c>
      <c r="P8" s="6" t="inlineStr">
        <is>
          <t>Shipping disruption or gas-cost shock can quickly reduce available export tons and raise global prices.</t>
        </is>
      </c>
      <c r="Q8" s="6" t="inlineStr">
        <is>
          <t>https://www.qafco.qa/wp-content/uploads/2025/07/QAFCO-2024-ESG-Report.pdf</t>
        </is>
      </c>
      <c r="R8" s="6" t="inlineStr">
        <is>
          <t>2024 ESG report gives 5.82m t urea output; QAFCO site says 5.6m tpy design and up to 14% of world supply.</t>
        </is>
      </c>
    </row>
    <row r="9">
      <c r="A9" s="6" t="inlineStr">
        <is>
          <t>QAFCO_AMMONIA_PRODUCT</t>
        </is>
      </c>
      <c r="B9" s="6" t="inlineStr">
        <is>
          <t>QAFCO ammonia product stream</t>
        </is>
      </c>
      <c r="C9" s="6" t="inlineStr">
        <is>
          <t>product_stream</t>
        </is>
      </c>
      <c r="D9" s="6" t="inlineStr">
        <is>
          <t>Ammonia</t>
        </is>
      </c>
      <c r="E9" s="6" t="inlineStr">
        <is>
          <t>Mesaieed Industrial City</t>
        </is>
      </c>
      <c r="F9" s="6" t="inlineStr">
        <is>
          <t>Qatar</t>
        </is>
      </c>
      <c r="G9" s="6" t="inlineStr">
        <is>
          <t>QAFCO</t>
        </is>
      </c>
      <c r="H9" s="6" t="n">
        <v>3800000</v>
      </c>
      <c r="I9" s="6" t="n">
        <v>3710000</v>
      </c>
      <c r="J9" s="6" t="n">
        <v>2024</v>
      </c>
      <c r="K9" s="6" t="inlineStr">
        <is>
          <t>Natural gas via ammonia synthesis loop</t>
        </is>
      </c>
      <c r="L9" s="6" t="inlineStr">
        <is>
          <t>Mostly internal to urea/melamine; some export sales</t>
        </is>
      </c>
      <c r="M9" s="6" t="inlineStr">
        <is>
          <t>Internal QAFCO urea and melamine; external industrial buyers</t>
        </is>
      </c>
      <c r="N9" s="6" t="n"/>
      <c r="O9" s="6" t="inlineStr">
        <is>
          <t>Critical intermediate node: ammonia is converted into urea, aqueous ammonia and melamine.</t>
        </is>
      </c>
      <c r="P9" s="6" t="inlineStr">
        <is>
          <t>Gas supply disruptions hit this first; storage/handling needs refrigerated tanks and reliable utilities.</t>
        </is>
      </c>
      <c r="Q9" s="6" t="inlineStr">
        <is>
          <t>https://iq.com.qa/en/about-iq/iq-group-companies/fertiliser/qatar-fertiliser-company-qafco/</t>
        </is>
      </c>
      <c r="R9" s="6" t="inlineStr">
        <is>
          <t>Industries Qatar notes a significant portion of ammonia is used internally as feedstock for urea; remainder sold for urea/ammonium phosphate uses.</t>
        </is>
      </c>
    </row>
    <row r="10">
      <c r="A10" s="6" t="inlineStr">
        <is>
          <t>QATAR_MELAMINE_COMPANY</t>
        </is>
      </c>
      <c r="B10" s="6" t="inlineStr">
        <is>
          <t>Qatar Melamine Company (QMC)</t>
        </is>
      </c>
      <c r="C10" s="6" t="inlineStr">
        <is>
          <t>downstream_subsidiary</t>
        </is>
      </c>
      <c r="D10" s="6" t="inlineStr">
        <is>
          <t>Melamine</t>
        </is>
      </c>
      <c r="E10" s="6" t="inlineStr">
        <is>
          <t>Mesaieed Industrial City</t>
        </is>
      </c>
      <c r="F10" s="6" t="inlineStr">
        <is>
          <t>Qatar</t>
        </is>
      </c>
      <c r="G10" s="6" t="inlineStr">
        <is>
          <t>QAFCO (100%)</t>
        </is>
      </c>
      <c r="H10" s="6" t="n">
        <v>60000</v>
      </c>
      <c r="I10" s="6" t="n"/>
      <c r="J10" s="6" t="n"/>
      <c r="K10" s="6" t="inlineStr">
        <is>
          <t>Urea feedstock from QAFCO</t>
        </is>
      </c>
      <c r="L10" s="6" t="inlineStr">
        <is>
          <t>Export markets / industrial users</t>
        </is>
      </c>
      <c r="M10" s="6" t="inlineStr">
        <is>
          <t>Resins, laminates, coatings, wood panels</t>
        </is>
      </c>
      <c r="N10" s="6" t="n"/>
      <c r="O10" s="6" t="inlineStr">
        <is>
          <t>Downstream diversification of urea into higher-value chemicals.</t>
        </is>
      </c>
      <c r="P10" s="6" t="inlineStr">
        <is>
          <t>Demand slowdown in construction/manufacturing or utility disruptions at MIC can reduce offtake; depends on QAFCO urea availability.</t>
        </is>
      </c>
      <c r="Q10" s="6" t="inlineStr">
        <is>
          <t>https://www.qafco.qa/en/about/qatar-melamine-company-qmc/</t>
        </is>
      </c>
      <c r="R10" s="6" t="inlineStr">
        <is>
          <t>QMC is fully owned by QAFCO; 2022 ESG report gives 60,000 tpa melamine capacity.</t>
        </is>
      </c>
    </row>
    <row r="11">
      <c r="A11" s="6" t="inlineStr">
        <is>
          <t>GULF_FORMALDEHYDE_COMPANY</t>
        </is>
      </c>
      <c r="B11" s="6" t="inlineStr">
        <is>
          <t>Gulf Formaldehyde Company (GFC)</t>
        </is>
      </c>
      <c r="C11" s="6" t="inlineStr">
        <is>
          <t>downstream_subsidiary</t>
        </is>
      </c>
      <c r="D11" s="6" t="inlineStr">
        <is>
          <t>Urea Formaldehyde Concentrate (UFC-85)</t>
        </is>
      </c>
      <c r="E11" s="6" t="inlineStr">
        <is>
          <t>Mesaieed Industrial City</t>
        </is>
      </c>
      <c r="F11" s="6" t="inlineStr">
        <is>
          <t>Qatar</t>
        </is>
      </c>
      <c r="G11" s="6" t="inlineStr">
        <is>
          <t>QAFCO (70% stake)</t>
        </is>
      </c>
      <c r="H11" s="6" t="n">
        <v>56000</v>
      </c>
      <c r="I11" s="6" t="n"/>
      <c r="J11" s="6" t="n"/>
      <c r="K11" s="6" t="inlineStr">
        <is>
          <t>Methanol + urea from QAFCO chain</t>
        </is>
      </c>
      <c r="L11" s="6" t="inlineStr">
        <is>
          <t>Primarily internal additive / some industrial use</t>
        </is>
      </c>
      <c r="M11" s="6" t="n"/>
      <c r="N11" s="6" t="n"/>
      <c r="O11" s="6" t="inlineStr">
        <is>
          <t>Produces UFC-85, which strengthens urea granules and improves product handling.</t>
        </is>
      </c>
      <c r="P11" s="6" t="inlineStr">
        <is>
          <t>Methanol or urea input constraints can reduce additive availability and affect urea product quality/handling.</t>
        </is>
      </c>
      <c r="Q11" s="6" t="inlineStr">
        <is>
          <t>https://www.qafco.qa/wp-content/uploads/2024/12/QAFCO2022ESGReport.pdf</t>
        </is>
      </c>
      <c r="R11" s="6" t="inlineStr">
        <is>
          <t>2022 ESG report says QAFCO holds 70% stake in GFC and UFC-85 annual capacity is about 56,000 tonnes.</t>
        </is>
      </c>
    </row>
    <row r="12">
      <c r="A12" s="6" t="inlineStr">
        <is>
          <t>AQUEOUS_AMMONIA_FACILITY</t>
        </is>
      </c>
      <c r="B12" s="6" t="inlineStr">
        <is>
          <t>QAFCO aqueous ammonia facility</t>
        </is>
      </c>
      <c r="C12" s="6" t="inlineStr">
        <is>
          <t>auxiliary_product_unit</t>
        </is>
      </c>
      <c r="D12" s="6" t="inlineStr">
        <is>
          <t>Aqueous ammonia</t>
        </is>
      </c>
      <c r="E12" s="6" t="inlineStr">
        <is>
          <t>Mesaieed Industrial City</t>
        </is>
      </c>
      <c r="F12" s="6" t="inlineStr">
        <is>
          <t>Qatar</t>
        </is>
      </c>
      <c r="G12" s="6" t="inlineStr">
        <is>
          <t>QAFCO</t>
        </is>
      </c>
      <c r="H12" s="6" t="n">
        <v>60000</v>
      </c>
      <c r="I12" s="6" t="n"/>
      <c r="J12" s="6" t="n"/>
      <c r="K12" s="6" t="inlineStr">
        <is>
          <t>Ammonia from QAFCO plants</t>
        </is>
      </c>
      <c r="L12" s="6" t="inlineStr">
        <is>
          <t>Domestic industrial / environmental use</t>
        </is>
      </c>
      <c r="M12" s="6" t="n"/>
      <c r="N12" s="6" t="n"/>
      <c r="O12" s="6" t="inlineStr">
        <is>
          <t>Used for NOx reduction at power generators and industrial plants; consumes part of ammonia output.</t>
        </is>
      </c>
      <c r="P12" s="6" t="inlineStr">
        <is>
          <t>Dependent on ammonia availability and industrial utility continuity.</t>
        </is>
      </c>
      <c r="Q12" s="6" t="inlineStr">
        <is>
          <t>https://www.qafco.qa/wp-content/uploads/2024/12/QAFCO2022ESGReport.pdf</t>
        </is>
      </c>
      <c r="R12" s="6" t="inlineStr">
        <is>
          <t>2022 ESG report says aqueous ammonia facility capacity is 60,000 tonnes and it is used for NOx reduction.</t>
        </is>
      </c>
    </row>
    <row r="13">
      <c r="A13" s="6" t="inlineStr">
        <is>
          <t>QAFCO_1_4_SITE</t>
        </is>
      </c>
      <c r="B13" s="6" t="inlineStr">
        <is>
          <t>QAFCO 1-4 site</t>
        </is>
      </c>
      <c r="C13" s="6" t="inlineStr">
        <is>
          <t>production_block</t>
        </is>
      </c>
      <c r="D13" s="6" t="inlineStr">
        <is>
          <t>Ammonia; Urea</t>
        </is>
      </c>
      <c r="E13" s="6" t="inlineStr">
        <is>
          <t>Mesaieed Industrial City</t>
        </is>
      </c>
      <c r="F13" s="6" t="inlineStr">
        <is>
          <t>Qatar</t>
        </is>
      </c>
      <c r="G13" s="6" t="inlineStr">
        <is>
          <t>QAFCO</t>
        </is>
      </c>
      <c r="H13" s="6" t="n"/>
      <c r="I13" s="6" t="n"/>
      <c r="J13" s="6" t="n"/>
      <c r="K13" s="6" t="inlineStr">
        <is>
          <t>North Field gas via QAFCO systems</t>
        </is>
      </c>
      <c r="L13" s="6" t="inlineStr">
        <is>
          <t>Mesaieed Port export chain</t>
        </is>
      </c>
      <c r="M13" s="6" t="n"/>
      <c r="N13" s="6" t="n"/>
      <c r="O13" s="6" t="inlineStr">
        <is>
          <t>Legacy production block undergoing ZLD and emissions upgrades; part of the single-site complex.</t>
        </is>
      </c>
      <c r="P13" s="6" t="inlineStr">
        <is>
          <t>Concentrated maintenance or utility failures can affect a large share of aggregate output; environmental compliance upgrades are ongoing.</t>
        </is>
      </c>
      <c r="Q13" s="6" t="inlineStr">
        <is>
          <t>https://www.qafco.qa/wp-content/uploads/2025/07/QAFCO-2024-ESG-Report.pdf</t>
        </is>
      </c>
      <c r="R13" s="6" t="inlineStr">
        <is>
          <t>2024 ESG report references the ZLD project at the QAFCO 1-4 site.</t>
        </is>
      </c>
    </row>
    <row r="14">
      <c r="A14" s="6" t="inlineStr">
        <is>
          <t>QAFCO_5_6_SITE</t>
        </is>
      </c>
      <c r="B14" s="6" t="inlineStr">
        <is>
          <t>QAFCO 5-6 site</t>
        </is>
      </c>
      <c r="C14" s="6" t="inlineStr">
        <is>
          <t>production_block</t>
        </is>
      </c>
      <c r="D14" s="6" t="inlineStr">
        <is>
          <t>Ammonia; Urea</t>
        </is>
      </c>
      <c r="E14" s="6" t="inlineStr">
        <is>
          <t>Mesaieed Industrial City</t>
        </is>
      </c>
      <c r="F14" s="6" t="inlineStr">
        <is>
          <t>Qatar</t>
        </is>
      </c>
      <c r="G14" s="6" t="inlineStr">
        <is>
          <t>QAFCO</t>
        </is>
      </c>
      <c r="H14" s="6" t="n"/>
      <c r="I14" s="6" t="n"/>
      <c r="J14" s="6" t="n"/>
      <c r="K14" s="6" t="inlineStr">
        <is>
          <t>North Field gas via QAFCO systems</t>
        </is>
      </c>
      <c r="L14" s="6" t="inlineStr">
        <is>
          <t>Mesaieed Port export chain</t>
        </is>
      </c>
      <c r="M14" s="6" t="n"/>
      <c r="N14" s="6" t="n"/>
      <c r="O14" s="6" t="inlineStr">
        <is>
          <t>Newer part of the production complex contributing to ammonia and urea output.</t>
        </is>
      </c>
      <c r="P14" s="6" t="inlineStr">
        <is>
          <t>Common-mode risks with the broader site: utilities, feedstock, shipping, and geopolitics.</t>
        </is>
      </c>
      <c r="Q14" s="6" t="inlineStr">
        <is>
          <t>https://www.qafco.qa/en/our-plants/</t>
        </is>
      </c>
      <c r="R14" s="6" t="inlineStr">
        <is>
          <t>QAFCO operates six world-class plants; 1-6 collectively underpin the single-site ammonia/urea complex.</t>
        </is>
      </c>
    </row>
    <row r="15">
      <c r="A15" s="6" t="inlineStr">
        <is>
          <t>STRAIT_OF_HORMUZ</t>
        </is>
      </c>
      <c r="B15" s="6" t="inlineStr">
        <is>
          <t>Strait of Hormuz</t>
        </is>
      </c>
      <c r="C15" s="6" t="inlineStr">
        <is>
          <t>shipping_chokepoint</t>
        </is>
      </c>
      <c r="D15" s="6" t="inlineStr">
        <is>
          <t>Fertilizer exports; LNG; oil</t>
        </is>
      </c>
      <c r="E15" s="6" t="inlineStr">
        <is>
          <t>Persian Gulf / Gulf of Oman</t>
        </is>
      </c>
      <c r="F15" s="6" t="inlineStr">
        <is>
          <t>Regional</t>
        </is>
      </c>
      <c r="G15" s="6" t="inlineStr">
        <is>
          <t>Iran / Oman littoral states</t>
        </is>
      </c>
      <c r="H15" s="6" t="n"/>
      <c r="I15" s="6" t="n"/>
      <c r="J15" s="6" t="n"/>
      <c r="K15" s="6" t="inlineStr">
        <is>
          <t>Exports from Qatar and wider Gulf</t>
        </is>
      </c>
      <c r="L15" s="6" t="inlineStr">
        <is>
          <t>Global sea lanes to Asia, Africa, Europe</t>
        </is>
      </c>
      <c r="M15" s="6" t="inlineStr">
        <is>
          <t>Global fertilizer buyers and energy importers</t>
        </is>
      </c>
      <c r="N15" s="6" t="n"/>
      <c r="O15" s="6" t="inlineStr">
        <is>
          <t>Main maritime exit for Gulf fertilizer cargoes to global markets.</t>
        </is>
      </c>
      <c r="P15" s="6" t="inlineStr">
        <is>
          <t>Conflict, military escalation, insurance spikes, or partial closure can block or delay fertilizer shipments and raise prices.</t>
        </is>
      </c>
      <c r="Q15" s="6" t="inlineStr">
        <is>
          <t>https://www.eia.gov/todayinenergy/detail.php?id=65504</t>
        </is>
      </c>
      <c r="R15" s="6" t="inlineStr">
        <is>
          <t>EIA identifies Hormuz as a critical global chokepoint for energy; Apex guide links chokepoint closures to fertilizer shortages.</t>
        </is>
      </c>
    </row>
    <row r="16">
      <c r="A16" s="6" t="inlineStr">
        <is>
          <t>INDIA_FERTILIZER_MARKET</t>
        </is>
      </c>
      <c r="B16" s="6" t="inlineStr">
        <is>
          <t>India fertilizer import market</t>
        </is>
      </c>
      <c r="C16" s="6" t="inlineStr">
        <is>
          <t>downstream_market</t>
        </is>
      </c>
      <c r="D16" s="6" t="inlineStr">
        <is>
          <t>Urea; ammonia-based fertilizer demand</t>
        </is>
      </c>
      <c r="E16" s="6" t="inlineStr">
        <is>
          <t>National</t>
        </is>
      </c>
      <c r="F16" s="6" t="inlineStr">
        <is>
          <t>India</t>
        </is>
      </c>
      <c r="G16" s="6" t="inlineStr">
        <is>
          <t>Government / private fertilizer importers</t>
        </is>
      </c>
      <c r="H16" s="6" t="n"/>
      <c r="I16" s="6" t="n"/>
      <c r="J16" s="6" t="n"/>
      <c r="K16" s="6" t="inlineStr">
        <is>
          <t>Imported urea and ammonia from Qatar and other exporters</t>
        </is>
      </c>
      <c r="L16" s="6" t="inlineStr">
        <is>
          <t>Indian ports / domestic distribution</t>
        </is>
      </c>
      <c r="M16" s="6" t="inlineStr">
        <is>
          <t>Indian farmers; crop yields; food prices</t>
        </is>
      </c>
      <c r="N16" s="6" t="n"/>
      <c r="O16" s="6" t="inlineStr">
        <is>
          <t>Major external demand center; fertilizer affordability affects farm input costs and crop production.</t>
        </is>
      </c>
      <c r="P16" s="6" t="inlineStr">
        <is>
          <t>Import dependence and exposure to maritime or gas-price shocks can amplify domestic subsidy costs and food-price pressures.</t>
        </is>
      </c>
      <c r="Q16" s="6" t="inlineStr">
        <is>
          <t>https://www.oecd.org/content/dam/oecd/en/publications/reports/2024/06/understanding-the-resilience-of-fertiliser-markets-to-shocks_c8c4806f/43664170-en.pdf</t>
        </is>
      </c>
      <c r="R16" s="6" t="inlineStr">
        <is>
          <t>OECD notes India is among the largest fertilizer importers; QAFCO 2021 report cites India among customer locations.</t>
        </is>
      </c>
    </row>
    <row r="17">
      <c r="A17" s="6" t="inlineStr">
        <is>
          <t>BRAZIL_FERTILIZER_MARKET</t>
        </is>
      </c>
      <c r="B17" s="6" t="inlineStr">
        <is>
          <t>Brazil fertilizer import market</t>
        </is>
      </c>
      <c r="C17" s="6" t="inlineStr">
        <is>
          <t>downstream_market</t>
        </is>
      </c>
      <c r="D17" s="6" t="inlineStr">
        <is>
          <t>Urea; crop nutrients</t>
        </is>
      </c>
      <c r="E17" s="6" t="inlineStr">
        <is>
          <t>National</t>
        </is>
      </c>
      <c r="F17" s="6" t="inlineStr">
        <is>
          <t>Brazil</t>
        </is>
      </c>
      <c r="G17" s="6" t="inlineStr">
        <is>
          <t>Ag importers / distributors</t>
        </is>
      </c>
      <c r="H17" s="6" t="n"/>
      <c r="I17" s="6" t="n"/>
      <c r="J17" s="6" t="n"/>
      <c r="K17" s="6" t="inlineStr">
        <is>
          <t>Imported nutrients from Qatar and other exporters</t>
        </is>
      </c>
      <c r="L17" s="6" t="inlineStr">
        <is>
          <t>Atlantic / global sea routes</t>
        </is>
      </c>
      <c r="M17" s="6" t="inlineStr">
        <is>
          <t>Brazilian farmers; soybean, corn and sugar crop systems</t>
        </is>
      </c>
      <c r="N17" s="6" t="n"/>
      <c r="O17" s="6" t="inlineStr">
        <is>
          <t>Large fertilizer-importing agricultural market highly exposed to nitrogen supply and price volatility.</t>
        </is>
      </c>
      <c r="P17" s="6" t="inlineStr">
        <is>
          <t>Import reliance makes Brazil sensitive to global fertilizer price spikes and shipping disruptions.</t>
        </is>
      </c>
      <c r="Q17" s="6" t="inlineStr">
        <is>
          <t>https://www.oecd.org/content/dam/oecd/en/publications/reports/2024/06/understanding-the-resilience-of-fertiliser-markets-to-shocks_c8c4806f/43664170-en.pdf</t>
        </is>
      </c>
      <c r="R17" s="6" t="inlineStr">
        <is>
          <t>OECD notes Brazil is among the largest fertilizer importers.</t>
        </is>
      </c>
    </row>
    <row r="18">
      <c r="A18" s="6" t="inlineStr">
        <is>
          <t>AUSTRALIA_FERTILIZER_MARKET</t>
        </is>
      </c>
      <c r="B18" s="6" t="inlineStr">
        <is>
          <t>Australia fertilizer customer market</t>
        </is>
      </c>
      <c r="C18" s="6" t="inlineStr">
        <is>
          <t>downstream_market</t>
        </is>
      </c>
      <c r="D18" s="6" t="inlineStr">
        <is>
          <t>Urea</t>
        </is>
      </c>
      <c r="E18" s="6" t="inlineStr">
        <is>
          <t>National</t>
        </is>
      </c>
      <c r="F18" s="6" t="inlineStr">
        <is>
          <t>Australia</t>
        </is>
      </c>
      <c r="G18" s="6" t="inlineStr">
        <is>
          <t>Agricultural importers / distributors</t>
        </is>
      </c>
      <c r="H18" s="6" t="n"/>
      <c r="I18" s="6" t="n"/>
      <c r="J18" s="6" t="n"/>
      <c r="K18" s="6" t="inlineStr">
        <is>
          <t>Imported QAFCO urea shipments</t>
        </is>
      </c>
      <c r="L18" s="6" t="inlineStr">
        <is>
          <t>Indian Ocean shipping routes</t>
        </is>
      </c>
      <c r="M18" s="6" t="inlineStr">
        <is>
          <t>Australian growers</t>
        </is>
      </c>
      <c r="N18" s="6" t="n"/>
      <c r="O18" s="6" t="inlineStr">
        <is>
          <t>Explicitly named by QAFCO as one of the customer-demand geographies served.</t>
        </is>
      </c>
      <c r="P18" s="6" t="inlineStr">
        <is>
          <t>Shipping disruption raises landed costs; dependent on import timing around planting windows.</t>
        </is>
      </c>
      <c r="Q18" s="6" t="inlineStr">
        <is>
          <t>https://www.qafco.qa/wp-content/uploads/2024/12/Sustainability-Report-2021small.pdf</t>
        </is>
      </c>
      <c r="R18" s="6" t="inlineStr">
        <is>
          <t>QAFCO 2021 report says customers were based in different locations such as Australia, USA, and India.</t>
        </is>
      </c>
    </row>
    <row r="19">
      <c r="A19" s="6" t="inlineStr">
        <is>
          <t>USA_FERTILIZER_MARKET</t>
        </is>
      </c>
      <c r="B19" s="6" t="inlineStr">
        <is>
          <t>United States fertilizer customer market</t>
        </is>
      </c>
      <c r="C19" s="6" t="inlineStr">
        <is>
          <t>downstream_market</t>
        </is>
      </c>
      <c r="D19" s="6" t="inlineStr">
        <is>
          <t>Urea</t>
        </is>
      </c>
      <c r="E19" s="6" t="inlineStr">
        <is>
          <t>National</t>
        </is>
      </c>
      <c r="F19" s="6" t="inlineStr">
        <is>
          <t>United States</t>
        </is>
      </c>
      <c r="G19" s="6" t="inlineStr">
        <is>
          <t>Agricultural importers / distributors</t>
        </is>
      </c>
      <c r="H19" s="6" t="n"/>
      <c r="I19" s="6" t="n"/>
      <c r="J19" s="6" t="n"/>
      <c r="K19" s="6" t="inlineStr">
        <is>
          <t>Imported QAFCO urea shipments</t>
        </is>
      </c>
      <c r="L19" s="6" t="inlineStr">
        <is>
          <t>Global bulk shipping routes</t>
        </is>
      </c>
      <c r="M19" s="6" t="inlineStr">
        <is>
          <t>US crop input markets</t>
        </is>
      </c>
      <c r="N19" s="6" t="n"/>
      <c r="O19" s="6" t="inlineStr">
        <is>
          <t>Named customer geography in company reporting.</t>
        </is>
      </c>
      <c r="P19" s="6" t="inlineStr">
        <is>
          <t>Shipping or price spikes can flow into farm input costs and fertilizer affordability.</t>
        </is>
      </c>
      <c r="Q19" s="6" t="inlineStr">
        <is>
          <t>https://www.qafco.qa/wp-content/uploads/2024/12/Sustainability-Report-2021small.pdf</t>
        </is>
      </c>
      <c r="R19" s="6" t="inlineStr">
        <is>
          <t>QAFCO 2021 report cites USA among customer locations.</t>
        </is>
      </c>
    </row>
    <row r="20">
      <c r="A20" s="6" t="inlineStr">
        <is>
          <t>GLOBAL_FOOD_PRICES</t>
        </is>
      </c>
      <c r="B20" s="6" t="inlineStr">
        <is>
          <t>Global food price / farm-input stress node</t>
        </is>
      </c>
      <c r="C20" s="6" t="inlineStr">
        <is>
          <t>system_outcome</t>
        </is>
      </c>
      <c r="D20" s="6" t="inlineStr">
        <is>
          <t>Food prices; farm-input inflation</t>
        </is>
      </c>
      <c r="E20" s="6" t="inlineStr">
        <is>
          <t>Global</t>
        </is>
      </c>
      <c r="F20" s="6" t="inlineStr">
        <is>
          <t>Global</t>
        </is>
      </c>
      <c r="G20" s="6" t="inlineStr">
        <is>
          <t>Composite market node</t>
        </is>
      </c>
      <c r="H20" s="6" t="n"/>
      <c r="I20" s="6" t="n"/>
      <c r="J20" s="6" t="n"/>
      <c r="K20" s="6" t="inlineStr">
        <is>
          <t>Nitrogen fertilizer availability and energy prices</t>
        </is>
      </c>
      <c r="L20" s="6" t="n"/>
      <c r="M20" s="6" t="inlineStr">
        <is>
          <t>Food-import-dependent countries; farm margins; sovereign stability</t>
        </is>
      </c>
      <c r="N20" s="6" t="n"/>
      <c r="O20" s="6" t="inlineStr">
        <is>
          <t>Represents downstream macro effect of fertilizer shortages or price spikes.</t>
        </is>
      </c>
      <c r="P20" s="6" t="inlineStr">
        <is>
          <t>Can propagate into subsidy stress, inflation, unrest and sovereign pressure in import-dependent economies.</t>
        </is>
      </c>
      <c r="Q20" s="6" t="inlineStr">
        <is>
          <t>Apex_Data_Collection_Guide (uploaded)</t>
        </is>
      </c>
      <c r="R20" s="6" t="inlineStr">
        <is>
          <t>Guide explicitly links gas disruption -&gt; fertilizer halt -&gt; food price spike -&gt; political instability.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9" customWidth="1" min="3" max="3"/>
    <col width="29" customWidth="1" min="4" max="4"/>
    <col width="40" customWidth="1" min="5" max="5"/>
    <col width="40" customWidth="1" min="6" max="6"/>
    <col width="40" customWidth="1" min="7" max="7"/>
  </cols>
  <sheetData>
    <row r="1">
      <c r="A1" s="5" t="inlineStr">
        <is>
          <t>edge_id</t>
        </is>
      </c>
      <c r="B1" s="5" t="inlineStr">
        <is>
          <t>from_node_id</t>
        </is>
      </c>
      <c r="C1" s="5" t="inlineStr">
        <is>
          <t>to_node_id</t>
        </is>
      </c>
      <c r="D1" s="5" t="inlineStr">
        <is>
          <t>edge_type</t>
        </is>
      </c>
      <c r="E1" s="5" t="inlineStr">
        <is>
          <t>mechanism</t>
        </is>
      </c>
      <c r="F1" s="5" t="inlineStr">
        <is>
          <t>evidence</t>
        </is>
      </c>
      <c r="G1" s="5" t="inlineStr">
        <is>
          <t>source_url</t>
        </is>
      </c>
    </row>
    <row r="2">
      <c r="A2" s="6" t="inlineStr">
        <is>
          <t>E1</t>
        </is>
      </c>
      <c r="B2" s="6" t="inlineStr">
        <is>
          <t>QATAR_ENERGY_FEEDSTOCK</t>
        </is>
      </c>
      <c r="C2" s="6" t="inlineStr">
        <is>
          <t>QAFCO_COMPLEX</t>
        </is>
      </c>
      <c r="D2" s="6" t="inlineStr">
        <is>
          <t>feedstock_supply</t>
        </is>
      </c>
      <c r="E2" s="6" t="inlineStr">
        <is>
          <t>Natural gas is the primary input for ammonia production, which is then converted to urea.</t>
        </is>
      </c>
      <c r="F2" s="6" t="inlineStr">
        <is>
          <t>QAFCO states it obtains natural gas (main ingredient for ammonia) from QatarEnergy; urea made from ammonia in process chain.</t>
        </is>
      </c>
      <c r="G2" s="6" t="inlineStr">
        <is>
          <t>https://www.qafco.qa/wp-content/uploads/2025/07/QAFCO-2024-ESG-Report.pdf</t>
        </is>
      </c>
    </row>
    <row r="3">
      <c r="A3" s="6" t="inlineStr">
        <is>
          <t>E2</t>
        </is>
      </c>
      <c r="B3" s="6" t="inlineStr">
        <is>
          <t>QAFCO_COMPLEX</t>
        </is>
      </c>
      <c r="C3" s="6" t="inlineStr">
        <is>
          <t>QAFCO7_BLUE_AMMONIA</t>
        </is>
      </c>
      <c r="D3" s="6" t="inlineStr">
        <is>
          <t>capacity_expansion</t>
        </is>
      </c>
      <c r="E3" s="6" t="inlineStr">
        <is>
          <t>Blue ammonia project expands ammonia capacity and reduces CO2 via CCS.</t>
        </is>
      </c>
      <c r="F3" s="6" t="inlineStr">
        <is>
          <t>ESG report describes QAFCO-7 planned 1.2 Mt capacity and CCS capturing ~70% CO2; start mid-2026.</t>
        </is>
      </c>
      <c r="G3" s="6" t="inlineStr">
        <is>
          <t>https://www.qafco.qa/wp-content/uploads/2025/07/QAFCO-2024-ESG-Report.pdf</t>
        </is>
      </c>
    </row>
    <row r="4">
      <c r="A4" s="6" t="inlineStr">
        <is>
          <t>E3</t>
        </is>
      </c>
      <c r="B4" s="6" t="inlineStr">
        <is>
          <t>QAFCO_COMPLEX</t>
        </is>
      </c>
      <c r="C4" s="6" t="inlineStr">
        <is>
          <t>STRAIT_OF_HORMUZ</t>
        </is>
      </c>
      <c r="D4" s="6" t="inlineStr">
        <is>
          <t>export_dependency</t>
        </is>
      </c>
      <c r="E4" s="6" t="inlineStr">
        <is>
          <t>Bulk exports from Persian Gulf generally transit the Strait of Hormuz.</t>
        </is>
      </c>
      <c r="F4" s="6" t="inlineStr">
        <is>
          <t>Qatar exports leave the Persian Gulf; the Strait of Hormuz connects the Gulf to open seas and is a key chokepoint.</t>
        </is>
      </c>
      <c r="G4" s="6" t="inlineStr">
        <is>
          <t>https://www.eia.gov/todayinenergy/detail.php?id=65504</t>
        </is>
      </c>
    </row>
    <row r="5">
      <c r="A5" s="6" t="inlineStr">
        <is>
          <t>E4</t>
        </is>
      </c>
      <c r="B5" s="6" t="inlineStr">
        <is>
          <t>QAFCO_COMPLEX</t>
        </is>
      </c>
      <c r="C5" s="6" t="inlineStr">
        <is>
          <t>GLOBAL_FOOD_PRICES</t>
        </is>
      </c>
      <c r="D5" s="6" t="inlineStr">
        <is>
          <t>supply_to_food_security</t>
        </is>
      </c>
      <c r="E5" s="6" t="inlineStr">
        <is>
          <t>Urea supply influences farm input costs and yields; disruptions raise food inflation and political risk.</t>
        </is>
      </c>
      <c r="F5" s="6" t="inlineStr">
        <is>
          <t>Apex guide: fertilizer shortage/price spike links to food security and sovereign stress (conceptual causal mapping).</t>
        </is>
      </c>
      <c r="G5" s="6" t="inlineStr">
        <is>
          <t>Apex_Data_Collection_Guide (uploaded)</t>
        </is>
      </c>
    </row>
    <row r="6">
      <c r="A6" s="6" t="inlineStr">
        <is>
          <t>E5</t>
        </is>
      </c>
      <c r="B6" s="6" t="inlineStr">
        <is>
          <t>NORTH_FIELD_GAS</t>
        </is>
      </c>
      <c r="C6" s="6" t="inlineStr">
        <is>
          <t>QATAR_ENERGY_FEEDSTOCK</t>
        </is>
      </c>
      <c r="D6" s="6" t="inlineStr">
        <is>
          <t>resource_to_supplier</t>
        </is>
      </c>
      <c r="E6" s="6" t="inlineStr">
        <is>
          <t>North Field underpins QatarEnergy feedstock availability to domestic gas-based industries.</t>
        </is>
      </c>
      <c r="F6" s="6" t="inlineStr">
        <is>
          <t>North Field is the resource base enabling Qatar’s gas supply system.</t>
        </is>
      </c>
      <c r="G6" s="6" t="inlineStr">
        <is>
          <t>https://www.qatarenergylng.qa/english/About-Us/North-Field</t>
        </is>
      </c>
    </row>
    <row r="7">
      <c r="A7" s="6" t="inlineStr">
        <is>
          <t>E6</t>
        </is>
      </c>
      <c r="B7" s="6" t="inlineStr">
        <is>
          <t>QATAR_ENERGY_FEEDSTOCK</t>
        </is>
      </c>
      <c r="C7" s="6" t="inlineStr">
        <is>
          <t>QAFCO_AMMONIA_PRODUCT</t>
        </is>
      </c>
      <c r="D7" s="6" t="inlineStr">
        <is>
          <t>feedstock_to_intermediate</t>
        </is>
      </c>
      <c r="E7" s="6" t="inlineStr">
        <is>
          <t>Natural gas is reformed to produce hydrogen for ammonia synthesis.</t>
        </is>
      </c>
      <c r="F7" s="6" t="inlineStr">
        <is>
          <t>QAFCO and IQ describe natural gas as the primary feedstock for ammonia.</t>
        </is>
      </c>
      <c r="G7" s="6" t="inlineStr">
        <is>
          <t>https://iq.com.qa/en/about-iq/iq-group-companies/fertiliser/qatar-fertiliser-company-qafco/</t>
        </is>
      </c>
    </row>
    <row r="8">
      <c r="A8" s="6" t="inlineStr">
        <is>
          <t>E7</t>
        </is>
      </c>
      <c r="B8" s="6" t="inlineStr">
        <is>
          <t>QAFCO_AMMONIA_PRODUCT</t>
        </is>
      </c>
      <c r="C8" s="6" t="inlineStr">
        <is>
          <t>QAFCO_UREA_PRODUCT</t>
        </is>
      </c>
      <c r="D8" s="6" t="inlineStr">
        <is>
          <t>internal_conversion</t>
        </is>
      </c>
      <c r="E8" s="6" t="inlineStr">
        <is>
          <t>Ammonia reacts with CO2 to produce urea; most ammonia is consumed internally.</t>
        </is>
      </c>
      <c r="F8" s="6" t="inlineStr">
        <is>
          <t>IQ says a significant portion of QAFCO ammonia is used internally as feedstock for urea.</t>
        </is>
      </c>
      <c r="G8" s="6" t="inlineStr">
        <is>
          <t>https://iq.com.qa/en/about-iq/iq-group-companies/fertiliser/qatar-fertiliser-company-qafco/</t>
        </is>
      </c>
    </row>
    <row r="9">
      <c r="A9" s="6" t="inlineStr">
        <is>
          <t>E8</t>
        </is>
      </c>
      <c r="B9" s="6" t="inlineStr">
        <is>
          <t>QAFCO_UREA_PRODUCT</t>
        </is>
      </c>
      <c r="C9" s="6" t="inlineStr">
        <is>
          <t>GULF_FORMALDEHYDE_COMPANY</t>
        </is>
      </c>
      <c r="D9" s="6" t="inlineStr">
        <is>
          <t>quality_additive_dependency</t>
        </is>
      </c>
      <c r="E9" s="6" t="inlineStr">
        <is>
          <t>Urea is one input into UFC-85, which is then added back to urea to improve strength.</t>
        </is>
      </c>
      <c r="F9" s="6" t="inlineStr">
        <is>
          <t>2022 ESG report explains UFC-85 composition and function.</t>
        </is>
      </c>
      <c r="G9" s="6" t="inlineStr">
        <is>
          <t>https://www.qafco.qa/wp-content/uploads/2024/12/QAFCO2022ESGReport.pdf</t>
        </is>
      </c>
    </row>
    <row r="10">
      <c r="A10" s="6" t="inlineStr">
        <is>
          <t>E9</t>
        </is>
      </c>
      <c r="B10" s="6" t="inlineStr">
        <is>
          <t>QAFCO_UREA_PRODUCT</t>
        </is>
      </c>
      <c r="C10" s="6" t="inlineStr">
        <is>
          <t>QATAR_MELAMINE_COMPANY</t>
        </is>
      </c>
      <c r="D10" s="6" t="inlineStr">
        <is>
          <t>downstream_conversion</t>
        </is>
      </c>
      <c r="E10" s="6" t="inlineStr">
        <is>
          <t>Part of the urea stream is thermally decomposed into melamine via the QMC downstream chain.</t>
        </is>
      </c>
      <c r="F10" s="6" t="inlineStr">
        <is>
          <t>QAFCO describes melamine as a downstream diversification from urea.</t>
        </is>
      </c>
      <c r="G10" s="6" t="inlineStr">
        <is>
          <t>https://www.qafco.qa/wp-content/uploads/2024/12/QAFCO_Substainability_Report_20210407_FINAL-1.pdf</t>
        </is>
      </c>
    </row>
    <row r="11">
      <c r="A11" s="6" t="inlineStr">
        <is>
          <t>E10</t>
        </is>
      </c>
      <c r="B11" s="6" t="inlineStr">
        <is>
          <t>QAFCO_COMPLEX</t>
        </is>
      </c>
      <c r="C11" s="6" t="inlineStr">
        <is>
          <t>MESAIEED_INDUSTRIAL_CITY</t>
        </is>
      </c>
      <c r="D11" s="6" t="inlineStr">
        <is>
          <t>located_in</t>
        </is>
      </c>
      <c r="E11" s="6" t="inlineStr">
        <is>
          <t>QAFCO operates inside the Mesaieed industrial cluster.</t>
        </is>
      </c>
      <c r="F11" s="6" t="inlineStr">
        <is>
          <t>Company location and reporting boundary are centered on Mesaieed.</t>
        </is>
      </c>
      <c r="G11" s="6" t="inlineStr">
        <is>
          <t>https://www.qafco.qa/en/</t>
        </is>
      </c>
    </row>
    <row r="12">
      <c r="A12" s="6" t="inlineStr">
        <is>
          <t>E11</t>
        </is>
      </c>
      <c r="B12" s="6" t="inlineStr">
        <is>
          <t>QAFCO_COMPLEX</t>
        </is>
      </c>
      <c r="C12" s="6" t="inlineStr">
        <is>
          <t>MESAIEED_PORT</t>
        </is>
      </c>
      <c r="D12" s="6" t="inlineStr">
        <is>
          <t>exports_via</t>
        </is>
      </c>
      <c r="E12" s="6" t="inlineStr">
        <is>
          <t>Physical fertilizer exports move through the Mesaieed port/logistics system.</t>
        </is>
      </c>
      <c r="F12" s="6" t="inlineStr">
        <is>
          <t>Mesaieed Port notes fertilizer exports from QAFCO since 1974.</t>
        </is>
      </c>
      <c r="G12" s="6" t="inlineStr">
        <is>
          <t>https://www.mesaieedport.qatarenergy.qa/</t>
        </is>
      </c>
    </row>
    <row r="13">
      <c r="A13" s="6" t="inlineStr">
        <is>
          <t>E12</t>
        </is>
      </c>
      <c r="B13" s="6" t="inlineStr">
        <is>
          <t>MESAIEED_PORT</t>
        </is>
      </c>
      <c r="C13" s="6" t="inlineStr">
        <is>
          <t>STRAIT_OF_HORMUZ</t>
        </is>
      </c>
      <c r="D13" s="6" t="inlineStr">
        <is>
          <t>route_dependency</t>
        </is>
      </c>
      <c r="E13" s="6" t="inlineStr">
        <is>
          <t>Most Gulf exports must transit Hormuz to reach global markets.</t>
        </is>
      </c>
      <c r="F13" s="6" t="inlineStr">
        <is>
          <t>Hormuz is the key maritime exit from the Gulf.</t>
        </is>
      </c>
      <c r="G13" s="6" t="inlineStr">
        <is>
          <t>https://www.eia.gov/todayinenergy/detail.php?id=65504</t>
        </is>
      </c>
    </row>
    <row r="14">
      <c r="A14" s="6" t="inlineStr">
        <is>
          <t>E13</t>
        </is>
      </c>
      <c r="B14" s="6" t="inlineStr">
        <is>
          <t>QAFCO_UREA_PRODUCT</t>
        </is>
      </c>
      <c r="C14" s="6" t="inlineStr">
        <is>
          <t>INDIA_FERTILIZER_MARKET</t>
        </is>
      </c>
      <c r="D14" s="6" t="inlineStr">
        <is>
          <t>exports_to</t>
        </is>
      </c>
      <c r="E14" s="6" t="inlineStr">
        <is>
          <t>India is a major import market in the global fertilizer system and is named among QAFCO customer geographies.</t>
        </is>
      </c>
      <c r="F14" s="6" t="inlineStr">
        <is>
          <t>QAFCO 2021 cites India among customer locations; OECD identifies India as one of the largest importers.</t>
        </is>
      </c>
      <c r="G14" s="6" t="inlineStr">
        <is>
          <t>https://www.qafco.qa/wp-content/uploads/2024/12/Sustainability-Report-2021small.pdf | https://www.oecd.org/content/dam/oecd/en/publications/reports/2024/06/understanding-the-resilience-of-fertiliser-markets-to-shocks_c8c4806f/43664170-en.pdf</t>
        </is>
      </c>
    </row>
    <row r="15">
      <c r="A15" s="6" t="inlineStr">
        <is>
          <t>E14</t>
        </is>
      </c>
      <c r="B15" s="6" t="inlineStr">
        <is>
          <t>QAFCO_UREA_PRODUCT</t>
        </is>
      </c>
      <c r="C15" s="6" t="inlineStr">
        <is>
          <t>BRAZIL_FERTILIZER_MARKET</t>
        </is>
      </c>
      <c r="D15" s="6" t="inlineStr">
        <is>
          <t>price_supply_linkage</t>
        </is>
      </c>
      <c r="E15" s="6" t="inlineStr">
        <is>
          <t>Brazil is a large fertilizer importer and exposed to QAFCO-linked nitrogen supply and price conditions.</t>
        </is>
      </c>
      <c r="F15" s="6" t="inlineStr">
        <is>
          <t>OECD identifies Brazil as one of the largest fertilizer importers.</t>
        </is>
      </c>
      <c r="G15" s="6" t="inlineStr">
        <is>
          <t>https://www.oecd.org/content/dam/oecd/en/publications/reports/2024/06/understanding-the-resilience-of-fertiliser-markets-to-shocks_c8c4806f/43664170-en.pdf</t>
        </is>
      </c>
    </row>
    <row r="16">
      <c r="A16" s="6" t="inlineStr">
        <is>
          <t>E15</t>
        </is>
      </c>
      <c r="B16" s="6" t="inlineStr">
        <is>
          <t>QAFCO_UREA_PRODUCT</t>
        </is>
      </c>
      <c r="C16" s="6" t="inlineStr">
        <is>
          <t>AUSTRALIA_FERTILIZER_MARKET</t>
        </is>
      </c>
      <c r="D16" s="6" t="inlineStr">
        <is>
          <t>exports_to</t>
        </is>
      </c>
      <c r="E16" s="6" t="inlineStr">
        <is>
          <t>Australia is explicitly named among QAFCO customer demand geographies.</t>
        </is>
      </c>
      <c r="F16" s="6" t="inlineStr">
        <is>
          <t>QAFCO 2021 report cites Australia among customer locations.</t>
        </is>
      </c>
      <c r="G16" s="6" t="inlineStr">
        <is>
          <t>https://www.qafco.qa/wp-content/uploads/2024/12/Sustainability-Report-2021small.pdf</t>
        </is>
      </c>
    </row>
    <row r="17">
      <c r="A17" s="6" t="inlineStr">
        <is>
          <t>E16</t>
        </is>
      </c>
      <c r="B17" s="6" t="inlineStr">
        <is>
          <t>QAFCO_UREA_PRODUCT</t>
        </is>
      </c>
      <c r="C17" s="6" t="inlineStr">
        <is>
          <t>USA_FERTILIZER_MARKET</t>
        </is>
      </c>
      <c r="D17" s="6" t="inlineStr">
        <is>
          <t>exports_to</t>
        </is>
      </c>
      <c r="E17" s="6" t="inlineStr">
        <is>
          <t>USA is explicitly named among QAFCO customer demand geographies.</t>
        </is>
      </c>
      <c r="F17" s="6" t="inlineStr">
        <is>
          <t>QAFCO 2021 report cites USA among customer locations.</t>
        </is>
      </c>
      <c r="G17" s="6" t="inlineStr">
        <is>
          <t>https://www.qafco.qa/wp-content/uploads/2024/12/Sustainability-Report-2021small.pdf</t>
        </is>
      </c>
    </row>
    <row r="18">
      <c r="A18" s="6" t="inlineStr">
        <is>
          <t>E17</t>
        </is>
      </c>
      <c r="B18" s="6" t="inlineStr">
        <is>
          <t>STRAIT_OF_HORMUZ</t>
        </is>
      </c>
      <c r="C18" s="6" t="inlineStr">
        <is>
          <t>QAFCO_UREA_PRODUCT</t>
        </is>
      </c>
      <c r="D18" s="6" t="inlineStr">
        <is>
          <t>chokepoint_risk</t>
        </is>
      </c>
      <c r="E18" s="6" t="inlineStr">
        <is>
          <t>Any partial closure, insecurity, or insurance spike in Hormuz can constrain QAFCO cargo flows.</t>
        </is>
      </c>
      <c r="F18" s="6" t="inlineStr">
        <is>
          <t>IFPRI and market commentary note Gulf fertilizer exports are vulnerable to Hormuz disruption.</t>
        </is>
      </c>
      <c r="G18" s="6" t="inlineStr">
        <is>
          <t>https://www.ifpri.org/blog/the-iran-war-potential-food-security-impacts/</t>
        </is>
      </c>
    </row>
    <row r="19">
      <c r="A19" s="6" t="inlineStr">
        <is>
          <t>E18</t>
        </is>
      </c>
      <c r="B19" s="6" t="inlineStr">
        <is>
          <t>QAFCO_UREA_PRODUCT</t>
        </is>
      </c>
      <c r="C19" s="6" t="inlineStr">
        <is>
          <t>GLOBAL_FOOD_PRICES</t>
        </is>
      </c>
      <c r="D19" s="6" t="inlineStr">
        <is>
          <t>farm_input_to_food_prices</t>
        </is>
      </c>
      <c r="E19" s="6" t="inlineStr">
        <is>
          <t>Nitrogen fertilizer shortages or price spikes raise farm input costs and can reduce yields, feeding into food inflation.</t>
        </is>
      </c>
      <c r="F19" s="6" t="inlineStr">
        <is>
          <t>Apex guide explicitly maps fertilizer shortage to food price spikes; IFPRI notes conflict can push prices higher.</t>
        </is>
      </c>
      <c r="G19" s="6" t="inlineStr">
        <is>
          <t>Apex_Data_Collection_Guide (uploaded) | https://www.ifpri.org/blog/the-iran-war-potential-food-security-impacts/</t>
        </is>
      </c>
    </row>
    <row r="20">
      <c r="A20" s="6" t="inlineStr">
        <is>
          <t>E19</t>
        </is>
      </c>
      <c r="B20" s="6" t="inlineStr">
        <is>
          <t>QAFCO7_BLUE_AMMONIA</t>
        </is>
      </c>
      <c r="C20" s="6" t="inlineStr">
        <is>
          <t>QAFCO_AMMONIA_PRODUCT</t>
        </is>
      </c>
      <c r="D20" s="6" t="inlineStr">
        <is>
          <t>capacity_resilience</t>
        </is>
      </c>
      <c r="E20" s="6" t="inlineStr">
        <is>
          <t>QAFCO-7 adds new low-carbon ammonia capacity, increasing system redundancy and export potential.</t>
        </is>
      </c>
      <c r="F20" s="6" t="inlineStr">
        <is>
          <t>QAFCO 2022/2023/2024 reporting and Reuters describe 1.2 mtpa project.</t>
        </is>
      </c>
      <c r="G20" s="6" t="inlineStr">
        <is>
          <t>https://www.qafco.qa/wp-content/uploads/2024/12/QAFCO2022ESGReport.pdf | https://www.reuters.com/business/energy/qatarenergy-double-annual-urea-production-2024-09-01/</t>
        </is>
      </c>
    </row>
    <row r="21">
      <c r="A21" s="6" t="inlineStr">
        <is>
          <t>E20</t>
        </is>
      </c>
      <c r="B21" s="6" t="inlineStr">
        <is>
          <t>QAFCO7_BLUE_AMMONIA</t>
        </is>
      </c>
      <c r="C21" s="6" t="inlineStr">
        <is>
          <t>GLOBAL_FOOD_PRICES</t>
        </is>
      </c>
      <c r="D21" s="6" t="inlineStr">
        <is>
          <t>future_supply_buffer</t>
        </is>
      </c>
      <c r="E21" s="6" t="inlineStr">
        <is>
          <t>Additional ammonia capacity can support future urea expansion and moderate supply tightness over time.</t>
        </is>
      </c>
      <c r="F21" s="6" t="inlineStr">
        <is>
          <t>QatarEnergy says new fertilizer complex will more than double national urea production by post-2030.</t>
        </is>
      </c>
      <c r="G21" s="6" t="inlineStr">
        <is>
          <t>https://www.reuters.com/business/energy/qatarenergy-double-annual-urea-production-2024-09-01/</t>
        </is>
      </c>
    </row>
    <row r="22">
      <c r="A22" s="6" t="inlineStr">
        <is>
          <t>E21</t>
        </is>
      </c>
      <c r="B22" s="6" t="inlineStr">
        <is>
          <t>QAFCO_COMPLEX</t>
        </is>
      </c>
      <c r="C22" s="6" t="inlineStr">
        <is>
          <t>GLOBAL_FOOD_PRICES</t>
        </is>
      </c>
      <c r="D22" s="6" t="inlineStr">
        <is>
          <t>market_share_transmission</t>
        </is>
      </c>
      <c r="E22" s="6" t="inlineStr">
        <is>
          <t>Because QAFCO supplies up to ~14% of world traded urea, disruption can have outsized effects on global prices.</t>
        </is>
      </c>
      <c r="F22" s="6" t="inlineStr">
        <is>
          <t>QAFCO describes itself as the world’s largest single-site exporter of urea with up to 14% share of world supply.</t>
        </is>
      </c>
      <c r="G22" s="6" t="inlineStr">
        <is>
          <t>https://www.qafco.qa/en/</t>
        </is>
      </c>
    </row>
    <row r="23">
      <c r="A23" s="6" t="inlineStr">
        <is>
          <t>E22</t>
        </is>
      </c>
      <c r="B23" s="6" t="inlineStr">
        <is>
          <t>QAFCO_COMPLEX</t>
        </is>
      </c>
      <c r="C23" s="6" t="inlineStr">
        <is>
          <t>QATAR_MELAMINE_COMPANY</t>
        </is>
      </c>
      <c r="D23" s="6" t="inlineStr">
        <is>
          <t>ownership_link</t>
        </is>
      </c>
      <c r="E23" s="6" t="inlineStr">
        <is>
          <t>QAFCO fully owns QMC.</t>
        </is>
      </c>
      <c r="F23" s="6" t="inlineStr">
        <is>
          <t>2024 ESG report says QAFCO fully owns QMC.</t>
        </is>
      </c>
      <c r="G23" s="6" t="inlineStr">
        <is>
          <t>https://www.qafco.qa/wp-content/uploads/2025/07/QAFCO-2024-ESG-Report.pdf</t>
        </is>
      </c>
    </row>
    <row r="24">
      <c r="A24" s="6" t="inlineStr">
        <is>
          <t>E23</t>
        </is>
      </c>
      <c r="B24" s="6" t="inlineStr">
        <is>
          <t>QAFCO_COMPLEX</t>
        </is>
      </c>
      <c r="C24" s="6" t="inlineStr">
        <is>
          <t>GULF_FORMALDEHYDE_COMPANY</t>
        </is>
      </c>
      <c r="D24" s="6" t="inlineStr">
        <is>
          <t>ownership_link</t>
        </is>
      </c>
      <c r="E24" s="6" t="inlineStr">
        <is>
          <t>QAFCO holds a 70% stake in GFC.</t>
        </is>
      </c>
      <c r="F24" s="6" t="inlineStr">
        <is>
          <t>2024 ESG report says QAFCO holds a 70% stake in GFC.</t>
        </is>
      </c>
      <c r="G24" s="6" t="inlineStr">
        <is>
          <t>https://www.qafco.qa/wp-content/uploads/2025/07/QAFCO-2024-ESG-Report.pdf</t>
        </is>
      </c>
    </row>
    <row r="25">
      <c r="A25" s="6" t="inlineStr">
        <is>
          <t>E24</t>
        </is>
      </c>
      <c r="B25" s="6" t="inlineStr">
        <is>
          <t>QAFCO_AMMONIA_PRODUCT</t>
        </is>
      </c>
      <c r="C25" s="6" t="inlineStr">
        <is>
          <t>AQUEOUS_AMMONIA_FACILITY</t>
        </is>
      </c>
      <c r="D25" s="6" t="inlineStr">
        <is>
          <t>internal_use</t>
        </is>
      </c>
      <c r="E25" s="6" t="inlineStr">
        <is>
          <t>Part of ammonia output is used to produce aqueous ammonia for NOx reduction applications.</t>
        </is>
      </c>
      <c r="F25" s="6" t="inlineStr">
        <is>
          <t>QAFCO 2021/2022 reports describe aqueous ammonia use and capacity.</t>
        </is>
      </c>
      <c r="G25" s="6" t="inlineStr">
        <is>
          <t>https://www.qafco.qa/wp-content/uploads/2024/12/QAFCO2022ESGReport.pdf</t>
        </is>
      </c>
    </row>
    <row r="26">
      <c r="A26" s="6" t="inlineStr">
        <is>
          <t>E25</t>
        </is>
      </c>
      <c r="B26" s="6" t="inlineStr">
        <is>
          <t>QAFCO_1_4_SITE</t>
        </is>
      </c>
      <c r="C26" s="6" t="inlineStr">
        <is>
          <t>QAFCO_UREA_PRODUCT</t>
        </is>
      </c>
      <c r="D26" s="6" t="inlineStr">
        <is>
          <t>production_block_to_product</t>
        </is>
      </c>
      <c r="E26" s="6" t="inlineStr">
        <is>
          <t>QAFCO 1-4 site contributes to aggregate urea output.</t>
        </is>
      </c>
      <c r="F26" s="6" t="inlineStr">
        <is>
          <t>2024 ESG report references environmental projects at QAFCO 1-4, indicating ongoing production asset relevance.</t>
        </is>
      </c>
      <c r="G26" s="6" t="inlineStr">
        <is>
          <t>https://www.qafco.qa/wp-content/uploads/2025/07/QAFCO-2024-ESG-Report.pdf</t>
        </is>
      </c>
    </row>
    <row r="27">
      <c r="A27" s="6" t="inlineStr">
        <is>
          <t>E26</t>
        </is>
      </c>
      <c r="B27" s="6" t="inlineStr">
        <is>
          <t>QAFCO_5_6_SITE</t>
        </is>
      </c>
      <c r="C27" s="6" t="inlineStr">
        <is>
          <t>QAFCO_UREA_PRODUCT</t>
        </is>
      </c>
      <c r="D27" s="6" t="inlineStr">
        <is>
          <t>production_block_to_product</t>
        </is>
      </c>
      <c r="E27" s="6" t="inlineStr">
        <is>
          <t>QAFCO 5-6 site contributes to aggregate urea output.</t>
        </is>
      </c>
      <c r="F27" s="6" t="inlineStr">
        <is>
          <t>QAFCO operates six plants as part of the single-site complex.</t>
        </is>
      </c>
      <c r="G27" s="6" t="inlineStr">
        <is>
          <t>https://www.qafco.qa/en/our-plants/</t>
        </is>
      </c>
    </row>
    <row r="28">
      <c r="A28" s="6" t="inlineStr">
        <is>
          <t>E27</t>
        </is>
      </c>
      <c r="B28" s="6" t="inlineStr">
        <is>
          <t>QAFCO_UREA_PRODUCT</t>
        </is>
      </c>
      <c r="C28" s="6" t="inlineStr">
        <is>
          <t>MESAIEED_PORT</t>
        </is>
      </c>
      <c r="D28" s="6" t="inlineStr">
        <is>
          <t>shipment_flow</t>
        </is>
      </c>
      <c r="E28" s="6" t="inlineStr">
        <is>
          <t>Finished urea moves from production/storage to export loading at Mesaieed.</t>
        </is>
      </c>
      <c r="F28" s="6" t="inlineStr">
        <is>
          <t>Port and company location/operations imply shipment linkage.</t>
        </is>
      </c>
      <c r="G28" s="6" t="inlineStr">
        <is>
          <t>https://www.mesaieedport.qatarenergy.qa/</t>
        </is>
      </c>
    </row>
    <row r="29">
      <c r="A29" s="6" t="inlineStr">
        <is>
          <t>E28</t>
        </is>
      </c>
      <c r="B29" s="6" t="inlineStr">
        <is>
          <t>INDIA_FERTILIZER_MARKET</t>
        </is>
      </c>
      <c r="C29" s="6" t="inlineStr">
        <is>
          <t>GLOBAL_FOOD_PRICES</t>
        </is>
      </c>
      <c r="D29" s="6" t="inlineStr">
        <is>
          <t>demand_amplifier</t>
        </is>
      </c>
      <c r="E29" s="6" t="inlineStr">
        <is>
          <t>Large importing markets amplify price shocks when supply is disrupted.</t>
        </is>
      </c>
      <c r="F29" s="6" t="inlineStr">
        <is>
          <t>OECD notes India is among the largest fertilizer importers.</t>
        </is>
      </c>
      <c r="G29" s="6" t="inlineStr">
        <is>
          <t>https://www.oecd.org/content/dam/oecd/en/publications/reports/2024/06/understanding-the-resilience-of-fertiliser-markets-to-shocks_c8c4806f/43664170-en.pdf</t>
        </is>
      </c>
    </row>
    <row r="30">
      <c r="A30" s="6" t="inlineStr">
        <is>
          <t>E29</t>
        </is>
      </c>
      <c r="B30" s="6" t="inlineStr">
        <is>
          <t>BRAZIL_FERTILIZER_MARKET</t>
        </is>
      </c>
      <c r="C30" s="6" t="inlineStr">
        <is>
          <t>GLOBAL_FOOD_PRICES</t>
        </is>
      </c>
      <c r="D30" s="6" t="inlineStr">
        <is>
          <t>demand_amplifier</t>
        </is>
      </c>
      <c r="E30" s="6" t="inlineStr">
        <is>
          <t>Large importing markets amplify global nitrogen price volatility.</t>
        </is>
      </c>
      <c r="F30" s="6" t="inlineStr">
        <is>
          <t>OECD notes Brazil is among the largest fertilizer importers.</t>
        </is>
      </c>
      <c r="G30" s="6" t="inlineStr">
        <is>
          <t>https://www.oecd.org/content/dam/oecd/en/publications/reports/2024/06/understanding-the-resilience-of-fertiliser-markets-to-shocks_c8c4806f/43664170-en.pdf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17" customWidth="1" min="3" max="3"/>
    <col width="25" customWidth="1" min="4" max="4"/>
    <col width="10" customWidth="1" min="5" max="5"/>
    <col width="12" customWidth="1" min="6" max="6"/>
    <col width="40" customWidth="1" min="7" max="7"/>
    <col width="40" customWidth="1" min="8" max="8"/>
    <col width="40" customWidth="1" min="10" max="10"/>
    <col width="40" customWidth="1" min="11" max="11"/>
  </cols>
  <sheetData>
    <row r="1">
      <c r="A1" s="5" t="inlineStr">
        <is>
          <t>metric_id</t>
        </is>
      </c>
      <c r="B1" s="5" t="inlineStr">
        <is>
          <t>metric_name</t>
        </is>
      </c>
      <c r="C1" s="5" t="inlineStr">
        <is>
          <t>product</t>
        </is>
      </c>
      <c r="D1" s="5" t="inlineStr">
        <is>
          <t>unit</t>
        </is>
      </c>
      <c r="E1" s="5" t="inlineStr">
        <is>
          <t>year</t>
        </is>
      </c>
      <c r="F1" s="5" t="inlineStr">
        <is>
          <t>value</t>
        </is>
      </c>
      <c r="G1" s="5" t="inlineStr">
        <is>
          <t>notes</t>
        </is>
      </c>
      <c r="H1" s="5" t="inlineStr">
        <is>
          <t>source_url</t>
        </is>
      </c>
      <c r="J1" s="7" t="inlineStr">
        <is>
          <t>Derived KPIs</t>
        </is>
      </c>
    </row>
    <row r="2">
      <c r="A2" s="6" t="inlineStr">
        <is>
          <t>M1</t>
        </is>
      </c>
      <c r="B2" s="6" t="inlineStr">
        <is>
          <t>Production</t>
        </is>
      </c>
      <c r="C2" s="6" t="inlineStr">
        <is>
          <t>Ammonia</t>
        </is>
      </c>
      <c r="D2" s="6" t="inlineStr">
        <is>
          <t>metric tonnes</t>
        </is>
      </c>
      <c r="E2" s="6" t="n">
        <v>2024</v>
      </c>
      <c r="F2" s="6" t="n">
        <v>3710000</v>
      </c>
      <c r="G2" s="6" t="inlineStr">
        <is>
          <t>Company-reported output for 2024.</t>
        </is>
      </c>
      <c r="H2" s="6" t="inlineStr">
        <is>
          <t>https://www.qafco.qa/wp-content/uploads/2025/07/QAFCO-2024-ESG-Report.pdf</t>
        </is>
      </c>
    </row>
    <row r="3">
      <c r="A3" s="6" t="inlineStr">
        <is>
          <t>M2</t>
        </is>
      </c>
      <c r="B3" s="6" t="inlineStr">
        <is>
          <t>Production</t>
        </is>
      </c>
      <c r="C3" s="6" t="inlineStr">
        <is>
          <t>Urea</t>
        </is>
      </c>
      <c r="D3" s="6" t="inlineStr">
        <is>
          <t>metric tonnes</t>
        </is>
      </c>
      <c r="E3" s="6" t="n">
        <v>2024</v>
      </c>
      <c r="F3" s="6" t="n">
        <v>5820000</v>
      </c>
      <c r="G3" s="6" t="inlineStr">
        <is>
          <t>Company-reported output for 2024.</t>
        </is>
      </c>
      <c r="H3" s="6" t="inlineStr">
        <is>
          <t>https://www.qafco.qa/wp-content/uploads/2025/07/QAFCO-2024-ESG-Report.pdf</t>
        </is>
      </c>
      <c r="J3" t="inlineStr">
        <is>
          <t>Urea utilization (2024 output / nameplate)</t>
        </is>
      </c>
      <c r="K3" s="8">
        <f>IFERROR((INDEX(tblOps[Value],MATCH("M2",tblOps[metric_id],0)))/(INDEX(tblOps[Value],MATCH("M6",tblOps[metric_id],0))),"")</f>
        <v/>
      </c>
    </row>
    <row r="4">
      <c r="A4" s="6" t="inlineStr">
        <is>
          <t>M3</t>
        </is>
      </c>
      <c r="B4" s="6" t="inlineStr">
        <is>
          <t>Exports (record)</t>
        </is>
      </c>
      <c r="C4" s="6" t="inlineStr">
        <is>
          <t>Urea</t>
        </is>
      </c>
      <c r="D4" s="6" t="inlineStr">
        <is>
          <t>metric tonnes</t>
        </is>
      </c>
      <c r="E4" s="6" t="n">
        <v>2024</v>
      </c>
      <c r="F4" s="6" t="n">
        <v>5694704</v>
      </c>
      <c r="G4" s="6" t="inlineStr">
        <is>
          <t>Record urea exports in 2024 (prior record 2022).</t>
        </is>
      </c>
      <c r="H4" s="6" t="inlineStr">
        <is>
          <t>https://www.qafco.qa/wp-content/uploads/2025/07/QAFCO-2024-ESG-Report.pdf</t>
        </is>
      </c>
      <c r="J4" t="inlineStr">
        <is>
          <t>Ammonia utilization (2024 output / nameplate)</t>
        </is>
      </c>
      <c r="K4" s="8">
        <f>IFERROR((INDEX(tblOps[Value],MATCH("M1",tblOps[metric_id],0)))/(INDEX(tblOps[Value],MATCH("M5",tblOps[metric_id],0))),"")</f>
        <v/>
      </c>
    </row>
    <row r="5">
      <c r="A5" s="6" t="inlineStr">
        <is>
          <t>M4</t>
        </is>
      </c>
      <c r="B5" s="6" t="inlineStr">
        <is>
          <t>Exports (record)</t>
        </is>
      </c>
      <c r="C5" s="6" t="inlineStr">
        <is>
          <t>Urea</t>
        </is>
      </c>
      <c r="D5" s="6" t="inlineStr">
        <is>
          <t>metric tonnes</t>
        </is>
      </c>
      <c r="E5" s="6" t="n">
        <v>2022</v>
      </c>
      <c r="F5" s="6" t="n">
        <v>5688632</v>
      </c>
      <c r="G5" s="6" t="inlineStr">
        <is>
          <t>Prior record urea exports referenced by company.</t>
        </is>
      </c>
      <c r="H5" s="6" t="inlineStr">
        <is>
          <t>https://www.qafco.qa/wp-content/uploads/2025/07/QAFCO-2024-ESG-Report.pdf</t>
        </is>
      </c>
    </row>
    <row r="6">
      <c r="A6" s="6" t="inlineStr">
        <is>
          <t>M5</t>
        </is>
      </c>
      <c r="B6" s="6" t="inlineStr">
        <is>
          <t>Annual capacity (nameplate)</t>
        </is>
      </c>
      <c r="C6" s="6" t="inlineStr">
        <is>
          <t>Ammonia</t>
        </is>
      </c>
      <c r="D6" s="6" t="inlineStr">
        <is>
          <t>metric tonnes/year</t>
        </is>
      </c>
      <c r="E6" s="6" t="n"/>
      <c r="F6" s="6" t="n">
        <v>3800000</v>
      </c>
      <c r="G6" s="6" t="inlineStr">
        <is>
          <t>Annual production capacity (site-reported).</t>
        </is>
      </c>
      <c r="H6" s="6" t="inlineStr">
        <is>
          <t>https://www.qafco.qa/our-plants/</t>
        </is>
      </c>
    </row>
    <row r="7">
      <c r="A7" s="6" t="inlineStr">
        <is>
          <t>M6</t>
        </is>
      </c>
      <c r="B7" s="6" t="inlineStr">
        <is>
          <t>Annual capacity (nameplate)</t>
        </is>
      </c>
      <c r="C7" s="6" t="inlineStr">
        <is>
          <t>Urea</t>
        </is>
      </c>
      <c r="D7" s="6" t="inlineStr">
        <is>
          <t>metric tonnes/year</t>
        </is>
      </c>
      <c r="E7" s="6" t="n"/>
      <c r="F7" s="6" t="n">
        <v>5600000</v>
      </c>
      <c r="G7" s="6" t="inlineStr">
        <is>
          <t>Annual production capacity (site-reported).</t>
        </is>
      </c>
      <c r="H7" s="6" t="inlineStr">
        <is>
          <t>https://www.qafco.qa/our-plants/</t>
        </is>
      </c>
    </row>
    <row r="8">
      <c r="A8" s="6" t="inlineStr">
        <is>
          <t>M7</t>
        </is>
      </c>
      <c r="B8" s="6" t="inlineStr">
        <is>
          <t>GHG emissions (Scope 1)</t>
        </is>
      </c>
      <c r="C8" s="6" t="inlineStr">
        <is>
          <t>All</t>
        </is>
      </c>
      <c r="D8" s="6" t="inlineStr">
        <is>
          <t>tCO2e</t>
        </is>
      </c>
      <c r="E8" s="6" t="n">
        <v>2024</v>
      </c>
      <c r="F8" s="6" t="n">
        <v>5053164.73</v>
      </c>
      <c r="G8" s="6" t="inlineStr">
        <is>
          <t>Scope 1 total, for intensity/CBAM-related analysis.</t>
        </is>
      </c>
      <c r="H8" s="6" t="inlineStr">
        <is>
          <t>https://www.qafco.qa/wp-content/uploads/2025/07/QAFCO-2024-ESG-Report.pdf</t>
        </is>
      </c>
    </row>
    <row r="9">
      <c r="A9" s="6" t="inlineStr">
        <is>
          <t>M8</t>
        </is>
      </c>
      <c r="B9" s="6" t="inlineStr">
        <is>
          <t>GHG emissions (Scope 1)</t>
        </is>
      </c>
      <c r="C9" s="6" t="inlineStr">
        <is>
          <t>All</t>
        </is>
      </c>
      <c r="D9" s="6" t="inlineStr">
        <is>
          <t>tCO2e</t>
        </is>
      </c>
      <c r="E9" s="6" t="n">
        <v>2023</v>
      </c>
      <c r="F9" s="6" t="n">
        <v>5114188.57</v>
      </c>
      <c r="G9" s="6" t="inlineStr">
        <is>
          <t>Scope 1 total.</t>
        </is>
      </c>
      <c r="H9" s="6" t="inlineStr">
        <is>
          <t>https://www.qafco.qa/wp-content/uploads/2025/07/QAFCO-2024-ESG-Report.pdf</t>
        </is>
      </c>
    </row>
    <row r="10">
      <c r="A10" s="6" t="inlineStr">
        <is>
          <t>M9</t>
        </is>
      </c>
      <c r="B10" s="6" t="inlineStr">
        <is>
          <t>Production</t>
        </is>
      </c>
      <c r="C10" s="6" t="inlineStr">
        <is>
          <t>Ammonia</t>
        </is>
      </c>
      <c r="D10" s="6" t="inlineStr">
        <is>
          <t>metric tonnes</t>
        </is>
      </c>
      <c r="E10" s="6" t="n">
        <v>2023</v>
      </c>
      <c r="F10" s="6" t="n">
        <v>3720000</v>
      </c>
      <c r="G10" s="6" t="inlineStr">
        <is>
          <t>Company-reported 2023 ammonia production.</t>
        </is>
      </c>
      <c r="H10" s="6" t="inlineStr">
        <is>
          <t>https://www.qafco.qa/wp-content/uploads/2025/01/QAFCO_2023_ESG-REPORT.pdf</t>
        </is>
      </c>
    </row>
    <row r="11">
      <c r="A11" s="6" t="inlineStr">
        <is>
          <t>M10</t>
        </is>
      </c>
      <c r="B11" s="6" t="inlineStr">
        <is>
          <t>Production</t>
        </is>
      </c>
      <c r="C11" s="6" t="inlineStr">
        <is>
          <t>Urea</t>
        </is>
      </c>
      <c r="D11" s="6" t="inlineStr">
        <is>
          <t>metric tonnes</t>
        </is>
      </c>
      <c r="E11" s="6" t="n">
        <v>2023</v>
      </c>
      <c r="F11" s="6" t="n">
        <v>5670000</v>
      </c>
      <c r="G11" s="6" t="inlineStr">
        <is>
          <t>Company-reported 2023 urea production.</t>
        </is>
      </c>
      <c r="H11" s="6" t="inlineStr">
        <is>
          <t>https://www.qafco.qa/wp-content/uploads/2025/01/QAFCO_2023_ESG-REPORT.pdf</t>
        </is>
      </c>
    </row>
    <row r="12">
      <c r="A12" s="6" t="inlineStr">
        <is>
          <t>M11</t>
        </is>
      </c>
      <c r="B12" s="6" t="inlineStr">
        <is>
          <t>Production</t>
        </is>
      </c>
      <c r="C12" s="6" t="inlineStr">
        <is>
          <t>Ammonia</t>
        </is>
      </c>
      <c r="D12" s="6" t="inlineStr">
        <is>
          <t>metric tonnes</t>
        </is>
      </c>
      <c r="E12" s="6" t="n">
        <v>2021</v>
      </c>
      <c r="F12" s="6" t="n">
        <v>3770000</v>
      </c>
      <c r="G12" s="6" t="inlineStr">
        <is>
          <t>Company-reported 2021 ammonia production.</t>
        </is>
      </c>
      <c r="H12" s="6" t="inlineStr">
        <is>
          <t>https://www.qafco.qa/wp-content/uploads/2024/12/Sustainability-Report-2021small.pdf</t>
        </is>
      </c>
    </row>
    <row r="13">
      <c r="A13" s="6" t="inlineStr">
        <is>
          <t>M12</t>
        </is>
      </c>
      <c r="B13" s="6" t="inlineStr">
        <is>
          <t>Production</t>
        </is>
      </c>
      <c r="C13" s="6" t="inlineStr">
        <is>
          <t>Urea</t>
        </is>
      </c>
      <c r="D13" s="6" t="inlineStr">
        <is>
          <t>metric tonnes</t>
        </is>
      </c>
      <c r="E13" s="6" t="n">
        <v>2021</v>
      </c>
      <c r="F13" s="6" t="n">
        <v>5730000</v>
      </c>
      <c r="G13" s="6" t="inlineStr">
        <is>
          <t>Company-reported 2021 urea production.</t>
        </is>
      </c>
      <c r="H13" s="6" t="inlineStr">
        <is>
          <t>https://www.qafco.qa/wp-content/uploads/2024/12/Sustainability-Report-2021small.pdf</t>
        </is>
      </c>
    </row>
    <row r="14">
      <c r="A14" s="6" t="inlineStr">
        <is>
          <t>M13</t>
        </is>
      </c>
      <c r="B14" s="6" t="inlineStr">
        <is>
          <t>Production</t>
        </is>
      </c>
      <c r="C14" s="6" t="inlineStr">
        <is>
          <t>Ammonia</t>
        </is>
      </c>
      <c r="D14" s="6" t="inlineStr">
        <is>
          <t>metric tonnes</t>
        </is>
      </c>
      <c r="E14" s="6" t="n">
        <v>2020</v>
      </c>
      <c r="F14" s="6" t="n">
        <v>3800000</v>
      </c>
      <c r="G14" s="6" t="inlineStr">
        <is>
          <t>Company-reported 2020 ammonia production record.</t>
        </is>
      </c>
      <c r="H14" s="6" t="inlineStr">
        <is>
          <t>https://www.qafco.qa/wp-content/uploads/2024/12/QAFCO_Substainability_Report_20210407_FINAL-1.pdf</t>
        </is>
      </c>
    </row>
    <row r="15">
      <c r="A15" s="6" t="inlineStr">
        <is>
          <t>M14</t>
        </is>
      </c>
      <c r="B15" s="6" t="inlineStr">
        <is>
          <t>Production</t>
        </is>
      </c>
      <c r="C15" s="6" t="inlineStr">
        <is>
          <t>Urea</t>
        </is>
      </c>
      <c r="D15" s="6" t="inlineStr">
        <is>
          <t>metric tonnes</t>
        </is>
      </c>
      <c r="E15" s="6" t="n">
        <v>2020</v>
      </c>
      <c r="F15" s="6" t="n">
        <v>5800000</v>
      </c>
      <c r="G15" s="6" t="inlineStr">
        <is>
          <t>Company-reported 2020 urea production record.</t>
        </is>
      </c>
      <c r="H15" s="6" t="inlineStr">
        <is>
          <t>https://www.qafco.qa/wp-content/uploads/2024/12/QAFCO_Substainability_Report_20210407_FINAL-1.pdf</t>
        </is>
      </c>
    </row>
    <row r="16">
      <c r="A16" s="6" t="inlineStr">
        <is>
          <t>M15</t>
        </is>
      </c>
      <c r="B16" s="6" t="inlineStr">
        <is>
          <t>Capacity</t>
        </is>
      </c>
      <c r="C16" s="6" t="inlineStr">
        <is>
          <t>Melamine</t>
        </is>
      </c>
      <c r="D16" s="6" t="inlineStr">
        <is>
          <t>metric tonnes per year</t>
        </is>
      </c>
      <c r="E16" s="6" t="n">
        <v>2022</v>
      </c>
      <c r="F16" s="6" t="n">
        <v>60000</v>
      </c>
      <c r="G16" s="6" t="inlineStr">
        <is>
          <t>QMC annual melamine capacity.</t>
        </is>
      </c>
      <c r="H16" s="6" t="inlineStr">
        <is>
          <t>https://www.qafco.qa/wp-content/uploads/2024/12/QAFCO2022ESGReport.pdf</t>
        </is>
      </c>
    </row>
    <row r="17">
      <c r="A17" s="6" t="inlineStr">
        <is>
          <t>M16</t>
        </is>
      </c>
      <c r="B17" s="6" t="inlineStr">
        <is>
          <t>Capacity</t>
        </is>
      </c>
      <c r="C17" s="6" t="inlineStr">
        <is>
          <t>UFC-85</t>
        </is>
      </c>
      <c r="D17" s="6" t="inlineStr">
        <is>
          <t>metric tonnes per year</t>
        </is>
      </c>
      <c r="E17" s="6" t="n">
        <v>2022</v>
      </c>
      <c r="F17" s="6" t="n">
        <v>56000</v>
      </c>
      <c r="G17" s="6" t="inlineStr">
        <is>
          <t>GFC / UFC-85 annual capacity.</t>
        </is>
      </c>
      <c r="H17" s="6" t="inlineStr">
        <is>
          <t>https://www.qafco.qa/wp-content/uploads/2024/12/QAFCO2022ESGReport.pdf</t>
        </is>
      </c>
    </row>
    <row r="18">
      <c r="A18" s="6" t="inlineStr">
        <is>
          <t>M17</t>
        </is>
      </c>
      <c r="B18" s="6" t="inlineStr">
        <is>
          <t>Capacity</t>
        </is>
      </c>
      <c r="C18" s="6" t="inlineStr">
        <is>
          <t>Aqueous ammonia</t>
        </is>
      </c>
      <c r="D18" s="6" t="inlineStr">
        <is>
          <t>metric tonnes per year</t>
        </is>
      </c>
      <c r="E18" s="6" t="n">
        <v>2022</v>
      </c>
      <c r="F18" s="6" t="n">
        <v>60000</v>
      </c>
      <c r="G18" s="6" t="inlineStr">
        <is>
          <t>Aqueous ammonia facility annual capacity.</t>
        </is>
      </c>
      <c r="H18" s="6" t="inlineStr">
        <is>
          <t>https://www.qafco.qa/wp-content/uploads/2024/12/QAFCO2022ESGReport.pdf</t>
        </is>
      </c>
    </row>
    <row r="19">
      <c r="A19" s="6" t="inlineStr">
        <is>
          <t>M18</t>
        </is>
      </c>
      <c r="B19" s="6" t="inlineStr">
        <is>
          <t>Market share</t>
        </is>
      </c>
      <c r="C19" s="6" t="inlineStr">
        <is>
          <t>Urea</t>
        </is>
      </c>
      <c r="D19" s="6" t="inlineStr">
        <is>
          <t>percent of world supply</t>
        </is>
      </c>
      <c r="E19" s="6" t="n">
        <v>2024</v>
      </c>
      <c r="F19" s="6" t="n">
        <v>14</v>
      </c>
      <c r="G19" s="6" t="inlineStr">
        <is>
          <t>QAFCO states up to 14% share of world supply/traded urea.</t>
        </is>
      </c>
      <c r="H19" s="6" t="inlineStr">
        <is>
          <t>https://www.qafco.qa/en/</t>
        </is>
      </c>
    </row>
    <row r="20">
      <c r="A20" s="6" t="inlineStr">
        <is>
          <t>M19</t>
        </is>
      </c>
      <c r="B20" s="6" t="inlineStr">
        <is>
          <t>Export reach</t>
        </is>
      </c>
      <c r="C20" s="6" t="inlineStr">
        <is>
          <t>All products</t>
        </is>
      </c>
      <c r="D20" s="6" t="inlineStr">
        <is>
          <t>countries</t>
        </is>
      </c>
      <c r="E20" s="6" t="n">
        <v>2022</v>
      </c>
      <c r="F20" s="6" t="n">
        <v>35</v>
      </c>
      <c r="G20" s="6" t="inlineStr">
        <is>
          <t>QAFCO reports exports to 35 countries through Muntajat.</t>
        </is>
      </c>
      <c r="H20" s="6" t="inlineStr">
        <is>
          <t>https://www.qafco.qa/wp-content/uploads/2024/12/QAFCO2022ESGReport.pdf</t>
        </is>
      </c>
    </row>
    <row r="21">
      <c r="A21" s="6" t="inlineStr">
        <is>
          <t>M20</t>
        </is>
      </c>
      <c r="B21" s="6" t="inlineStr">
        <is>
          <t>Export reach</t>
        </is>
      </c>
      <c r="C21" s="6" t="inlineStr">
        <is>
          <t>All products</t>
        </is>
      </c>
      <c r="D21" s="6" t="inlineStr">
        <is>
          <t>countries</t>
        </is>
      </c>
      <c r="E21" s="6" t="n">
        <v>2021</v>
      </c>
      <c r="F21" s="6" t="n">
        <v>35</v>
      </c>
      <c r="G21" s="6" t="inlineStr">
        <is>
          <t>QAFCO/Muntajat export market extended to more than 35 countries.</t>
        </is>
      </c>
      <c r="H21" s="6" t="inlineStr">
        <is>
          <t>https://www.qafco.qa/wp-content/uploads/2024/12/QAFCO_Substainability_Report_20210407_FINAL-1.pdf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52" customWidth="1" min="14" max="14"/>
  </cols>
  <sheetData>
    <row r="1">
      <c r="A1" s="5" t="inlineStr">
        <is>
          <t>series</t>
        </is>
      </c>
      <c r="B1" s="5" t="inlineStr">
        <is>
          <t>unit</t>
        </is>
      </c>
      <c r="C1" s="5" t="inlineStr">
        <is>
          <t>2023_annual</t>
        </is>
      </c>
      <c r="D1" s="5" t="inlineStr">
        <is>
          <t>2024_annual</t>
        </is>
      </c>
      <c r="E1" s="5" t="inlineStr">
        <is>
          <t>2025_annual</t>
        </is>
      </c>
      <c r="F1" s="5" t="inlineStr">
        <is>
          <t>2024_Q4</t>
        </is>
      </c>
      <c r="G1" s="5" t="inlineStr">
        <is>
          <t>2025_Q1</t>
        </is>
      </c>
      <c r="H1" s="5" t="inlineStr">
        <is>
          <t>2025_Q2</t>
        </is>
      </c>
      <c r="I1" s="5" t="inlineStr">
        <is>
          <t>2025_Q3</t>
        </is>
      </c>
      <c r="J1" s="5" t="inlineStr">
        <is>
          <t>2025_Q4</t>
        </is>
      </c>
      <c r="K1" s="5" t="inlineStr">
        <is>
          <t>2025_Dec</t>
        </is>
      </c>
      <c r="L1" s="5" t="inlineStr">
        <is>
          <t>2026_Jan</t>
        </is>
      </c>
      <c r="M1" s="5" t="inlineStr">
        <is>
          <t>2026_Feb</t>
        </is>
      </c>
      <c r="N1" s="5" t="inlineStr">
        <is>
          <t>source_url</t>
        </is>
      </c>
    </row>
    <row r="2">
      <c r="A2" s="6" t="inlineStr">
        <is>
          <t>Natural gas, U.S.</t>
        </is>
      </c>
      <c r="B2" s="6" t="inlineStr">
        <is>
          <t>$/mmbtu</t>
        </is>
      </c>
      <c r="C2" s="6" t="n">
        <v>2.54</v>
      </c>
      <c r="D2" s="6" t="n">
        <v>2.19</v>
      </c>
      <c r="E2" s="6" t="n">
        <v>3.53</v>
      </c>
      <c r="F2" s="6" t="n">
        <v>2.45</v>
      </c>
      <c r="G2" s="6" t="n">
        <v>4.15</v>
      </c>
      <c r="H2" s="6" t="n">
        <v>3.18</v>
      </c>
      <c r="I2" s="6" t="n">
        <v>3.03</v>
      </c>
      <c r="J2" s="6" t="n">
        <v>3.75</v>
      </c>
      <c r="K2" s="6" t="n">
        <v>4.25</v>
      </c>
      <c r="L2" s="6" t="n">
        <v>7.58</v>
      </c>
      <c r="M2" s="6" t="n">
        <v>3.61</v>
      </c>
      <c r="N2" s="6" t="inlineStr">
        <is>
          <t>https://thedocs.worldbank.org/en/doc/74e8be41ceb20fa0da750cda2f6b9e4e-0050012026/related/CMO-Pink-Sheet-March-2026.pdf</t>
        </is>
      </c>
    </row>
    <row r="3">
      <c r="A3" s="6" t="inlineStr">
        <is>
          <t>Natural gas, Europe (TTF)</t>
        </is>
      </c>
      <c r="B3" s="6" t="inlineStr">
        <is>
          <t>$/mmbtu</t>
        </is>
      </c>
      <c r="C3" s="6" t="n">
        <v>13.11</v>
      </c>
      <c r="D3" s="6" t="n">
        <v>10.96</v>
      </c>
      <c r="E3" s="6" t="n">
        <v>11.96</v>
      </c>
      <c r="F3" s="6" t="n">
        <v>13.57</v>
      </c>
      <c r="G3" s="6" t="n">
        <v>14.41</v>
      </c>
      <c r="H3" s="6" t="n">
        <v>11.87</v>
      </c>
      <c r="I3" s="6" t="n">
        <v>11.29</v>
      </c>
      <c r="J3" s="6" t="n">
        <v>10.26</v>
      </c>
      <c r="K3" s="6" t="n">
        <v>9.48</v>
      </c>
      <c r="L3" s="6" t="n">
        <v>11.76</v>
      </c>
      <c r="M3" s="6" t="n">
        <v>11.24</v>
      </c>
      <c r="N3" s="6" t="inlineStr">
        <is>
          <t>https://thedocs.worldbank.org/en/doc/74e8be41ceb20fa0da750cda2f6b9e4e-0050012026/related/CMO-Pink-Sheet-March-2026.pdf</t>
        </is>
      </c>
    </row>
    <row r="4">
      <c r="A4" s="6" t="inlineStr">
        <is>
          <t>DAP</t>
        </is>
      </c>
      <c r="B4" s="6" t="inlineStr">
        <is>
          <t>$/mt</t>
        </is>
      </c>
      <c r="C4" s="6" t="n">
        <v>550</v>
      </c>
      <c r="D4" s="6" t="n">
        <v>563.7</v>
      </c>
      <c r="E4" s="6" t="n">
        <v>685.2</v>
      </c>
      <c r="F4" s="6" t="n">
        <v>572.1</v>
      </c>
      <c r="G4" s="6" t="n">
        <v>600.5</v>
      </c>
      <c r="H4" s="6" t="n">
        <v>673.2</v>
      </c>
      <c r="I4" s="6" t="n">
        <v>770.6</v>
      </c>
      <c r="J4" s="6" t="n">
        <v>696.6</v>
      </c>
      <c r="K4" s="6" t="n">
        <v>627.5</v>
      </c>
      <c r="L4" s="6" t="n">
        <v>619.2</v>
      </c>
      <c r="M4" s="6" t="n">
        <v>626.5</v>
      </c>
      <c r="N4" s="6" t="inlineStr">
        <is>
          <t>https://thedocs.worldbank.org/en/doc/74e8be41ceb20fa0da750cda2f6b9e4e-0050012026/related/CMO-Pink-Sheet-March-2026.pdf</t>
        </is>
      </c>
    </row>
    <row r="5">
      <c r="A5" s="6" t="inlineStr">
        <is>
          <t>Phosphate rock</t>
        </is>
      </c>
      <c r="B5" s="6" t="inlineStr">
        <is>
          <t>$/mt</t>
        </is>
      </c>
      <c r="C5" s="6" t="n">
        <v>321.7</v>
      </c>
      <c r="D5" s="6" t="n">
        <v>152.5</v>
      </c>
      <c r="E5" s="6" t="n">
        <v>152.5</v>
      </c>
      <c r="F5" s="6" t="n">
        <v>152.5</v>
      </c>
      <c r="G5" s="6" t="n">
        <v>152.5</v>
      </c>
      <c r="H5" s="6" t="n">
        <v>152.5</v>
      </c>
      <c r="I5" s="6" t="n">
        <v>152.5</v>
      </c>
      <c r="J5" s="6" t="n">
        <v>152.5</v>
      </c>
      <c r="K5" s="6" t="n">
        <v>152.5</v>
      </c>
      <c r="L5" s="6" t="n">
        <v>152.5</v>
      </c>
      <c r="M5" s="6" t="n">
        <v>152.5</v>
      </c>
      <c r="N5" s="6" t="inlineStr">
        <is>
          <t>https://thedocs.worldbank.org/en/doc/74e8be41ceb20fa0da750cda2f6b9e4e-0050012026/related/CMO-Pink-Sheet-March-2026.pdf</t>
        </is>
      </c>
    </row>
    <row r="6">
      <c r="A6" s="6" t="inlineStr">
        <is>
          <t>TSP</t>
        </is>
      </c>
      <c r="B6" s="6" t="inlineStr">
        <is>
          <t>$/mt</t>
        </is>
      </c>
      <c r="C6" s="6" t="n">
        <v>480.2</v>
      </c>
      <c r="D6" s="6" t="n">
        <v>474.6</v>
      </c>
      <c r="E6" s="6" t="n">
        <v>577.6</v>
      </c>
      <c r="F6" s="6" t="n">
        <v>490.8</v>
      </c>
      <c r="G6" s="6" t="n">
        <v>479</v>
      </c>
      <c r="H6" s="6" t="n">
        <v>559.6</v>
      </c>
      <c r="I6" s="6" t="n">
        <v>660.8</v>
      </c>
      <c r="J6" s="6" t="n">
        <v>611.1</v>
      </c>
      <c r="K6" s="6" t="n">
        <v>538.5</v>
      </c>
      <c r="L6" s="6" t="n">
        <v>529.2</v>
      </c>
      <c r="M6" s="6" t="n">
        <v>536.3</v>
      </c>
      <c r="N6" s="6" t="inlineStr">
        <is>
          <t>https://thedocs.worldbank.org/en/doc/74e8be41ceb20fa0da750cda2f6b9e4e-0050012026/related/CMO-Pink-Sheet-March-2026.pdf</t>
        </is>
      </c>
    </row>
    <row r="7">
      <c r="A7" s="6" t="inlineStr">
        <is>
          <t>Urea, E. Europe</t>
        </is>
      </c>
      <c r="B7" s="6" t="inlineStr">
        <is>
          <t>$/mt</t>
        </is>
      </c>
      <c r="C7" s="6" t="n">
        <v>358</v>
      </c>
      <c r="D7" s="6" t="n">
        <v>338.3</v>
      </c>
      <c r="E7" s="6" t="n">
        <v>422.7</v>
      </c>
      <c r="F7" s="6" t="n">
        <v>359.7</v>
      </c>
      <c r="G7" s="6" t="n">
        <v>403.8</v>
      </c>
      <c r="H7" s="6" t="n">
        <v>399.8</v>
      </c>
      <c r="I7" s="6" t="n">
        <v>488.3</v>
      </c>
      <c r="J7" s="6" t="n">
        <v>398.7</v>
      </c>
      <c r="K7" s="6" t="n">
        <v>392.5</v>
      </c>
      <c r="L7" s="6" t="n">
        <v>415.4</v>
      </c>
      <c r="M7" s="6" t="n">
        <v>472</v>
      </c>
      <c r="N7" s="6" t="inlineStr">
        <is>
          <t>https://thedocs.worldbank.org/en/doc/74e8be41ceb20fa0da750cda2f6b9e4e-0050012026/related/CMO-Pink-Sheet-March-2026.pdf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>
      <c r="A1" s="9" t="inlineStr">
        <is>
          <t>FAOSTAT — Fertilizers by Product (RFB) — schema + download checklist</t>
        </is>
      </c>
    </row>
    <row r="3">
      <c r="A3" s="10" t="inlineStr">
        <is>
          <t>What to download (no API required)</t>
        </is>
      </c>
    </row>
    <row r="4" ht="70" customHeight="1">
      <c r="A4" s="11" t="inlineStr">
        <is>
          <t>1) Fertilizers by Product domain (RFB) — export Production/Trade/Agricultural Use for Qatar (and optionally Saudi Arabia, Oman) by year.
2) Download the methodological note / codebook (RFB_EN_README.pdf).
3) Keep the raw extract CSV as-is; create a cleaned view that maps into Apex schema fields.</t>
        </is>
      </c>
    </row>
    <row r="6">
      <c r="A6" s="10" t="inlineStr">
        <is>
          <t>Key product → HS codes (from RFB methodological note)</t>
        </is>
      </c>
    </row>
    <row r="7">
      <c r="A7" s="5" t="inlineStr">
        <is>
          <t>product</t>
        </is>
      </c>
      <c r="B7" s="5" t="inlineStr">
        <is>
          <t>HS_code(s)</t>
        </is>
      </c>
    </row>
    <row r="8">
      <c r="A8" s="6" t="inlineStr">
        <is>
          <t>Urea</t>
        </is>
      </c>
      <c r="B8" s="6" t="inlineStr">
        <is>
          <t>310210</t>
        </is>
      </c>
    </row>
    <row r="9">
      <c r="A9" s="6" t="inlineStr">
        <is>
          <t>Ammonia, anhydrous</t>
        </is>
      </c>
      <c r="B9" s="6" t="inlineStr">
        <is>
          <t>281410</t>
        </is>
      </c>
    </row>
    <row r="10">
      <c r="A10" s="6" t="inlineStr">
        <is>
          <t>Diammonium phosphate (DAP)</t>
        </is>
      </c>
      <c r="B10" s="6" t="inlineStr">
        <is>
          <t>310530</t>
        </is>
      </c>
    </row>
    <row r="11">
      <c r="A11" s="6" t="inlineStr">
        <is>
          <t>Monoammonium phosphate (MAP)</t>
        </is>
      </c>
      <c r="B11" s="6" t="inlineStr">
        <is>
          <t>310540</t>
        </is>
      </c>
    </row>
    <row r="12">
      <c r="A12" s="6" t="inlineStr">
        <is>
          <t>Phosphate rock</t>
        </is>
      </c>
      <c r="B12" s="6" t="inlineStr">
        <is>
          <t>2510</t>
        </is>
      </c>
    </row>
    <row r="13">
      <c r="A13" s="6" t="inlineStr">
        <is>
          <t>Potassium chloride (MOP)</t>
        </is>
      </c>
      <c r="B13" s="6" t="inlineStr">
        <is>
          <t>310420</t>
        </is>
      </c>
    </row>
    <row r="15">
      <c r="A15" s="10" t="inlineStr">
        <is>
          <t>Source URLs</t>
        </is>
      </c>
    </row>
    <row r="16">
      <c r="A16" s="4" t="inlineStr">
        <is>
          <t>RFB methodological note (codebook): https://files-faostat.fao.org/production/RFB/RFB_EN_README.pdf</t>
        </is>
      </c>
    </row>
    <row r="17">
      <c r="A17" s="4" t="inlineStr">
        <is>
          <t>FAOSTAT portal: https://www.fao.org/faostat/en/#data/RFB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40" customWidth="1" min="3" max="3"/>
    <col width="40" customWidth="1" min="4" max="4"/>
    <col width="10" customWidth="1" min="5" max="5"/>
    <col width="40" customWidth="1" min="6" max="6"/>
    <col width="40" customWidth="1" min="7" max="7"/>
    <col width="40" customWidth="1" min="8" max="8"/>
  </cols>
  <sheetData>
    <row r="1">
      <c r="A1" s="5" t="inlineStr">
        <is>
          <t>source_id</t>
        </is>
      </c>
      <c r="B1" s="5" t="inlineStr">
        <is>
          <t>source_type</t>
        </is>
      </c>
      <c r="C1" s="5" t="inlineStr">
        <is>
          <t>title</t>
        </is>
      </c>
      <c r="D1" s="5" t="inlineStr">
        <is>
          <t>publisher</t>
        </is>
      </c>
      <c r="E1" s="5" t="inlineStr">
        <is>
          <t>year</t>
        </is>
      </c>
      <c r="F1" s="5" t="inlineStr">
        <is>
          <t>url</t>
        </is>
      </c>
      <c r="G1" s="5" t="inlineStr">
        <is>
          <t>used_in_sheets</t>
        </is>
      </c>
      <c r="H1" s="5" t="inlineStr">
        <is>
          <t>notes</t>
        </is>
      </c>
    </row>
    <row r="2">
      <c r="A2" s="6" t="inlineStr">
        <is>
          <t>S1</t>
        </is>
      </c>
      <c r="B2" s="6" t="inlineStr">
        <is>
          <t>web</t>
        </is>
      </c>
      <c r="C2" s="6" t="inlineStr">
        <is>
          <t>QAFCO Our Plants</t>
        </is>
      </c>
      <c r="D2" s="6" t="inlineStr">
        <is>
          <t>QAFCO</t>
        </is>
      </c>
      <c r="E2" s="6" t="n"/>
      <c r="F2" s="6" t="inlineStr">
        <is>
          <t>https://www.qafco.qa/our-plants/</t>
        </is>
      </c>
      <c r="G2" s="6" t="inlineStr">
        <is>
          <t>SlowLane_Nodes; FastLane_Operations</t>
        </is>
      </c>
      <c r="H2" s="6" t="inlineStr">
        <is>
          <t>Plant count, capacity, territories served.</t>
        </is>
      </c>
    </row>
    <row r="3">
      <c r="A3" s="6" t="inlineStr">
        <is>
          <t>S2</t>
        </is>
      </c>
      <c r="B3" s="6" t="inlineStr">
        <is>
          <t>web</t>
        </is>
      </c>
      <c r="C3" s="6" t="inlineStr">
        <is>
          <t>QAFCO About Us</t>
        </is>
      </c>
      <c r="D3" s="6" t="inlineStr">
        <is>
          <t>QAFCO</t>
        </is>
      </c>
      <c r="E3" s="6" t="n"/>
      <c r="F3" s="6" t="inlineStr">
        <is>
          <t>https://www.qafco.qa/about-us/</t>
        </is>
      </c>
      <c r="G3" s="6" t="inlineStr">
        <is>
          <t>SlowLane_Nodes</t>
        </is>
      </c>
      <c r="H3" s="6" t="inlineStr">
        <is>
          <t>Exporter claim and market share statement.</t>
        </is>
      </c>
    </row>
    <row r="4">
      <c r="A4" s="6" t="inlineStr">
        <is>
          <t>S3</t>
        </is>
      </c>
      <c r="B4" s="6" t="inlineStr">
        <is>
          <t>pdf</t>
        </is>
      </c>
      <c r="C4" s="6" t="inlineStr">
        <is>
          <t>QAFCO 2024 ESG Report</t>
        </is>
      </c>
      <c r="D4" s="6" t="inlineStr">
        <is>
          <t>QAFCO</t>
        </is>
      </c>
      <c r="E4" s="6" t="n">
        <v>2024</v>
      </c>
      <c r="F4" s="6" t="inlineStr">
        <is>
          <t>https://www.qafco.qa/wp-content/uploads/2025/07/QAFCO-2024-ESG-Report.pdf</t>
        </is>
      </c>
      <c r="G4" s="6" t="inlineStr">
        <is>
          <t>SlowLane_Nodes; SlowLane_Edges; FastLane_Operations</t>
        </is>
      </c>
      <c r="H4" s="6" t="inlineStr">
        <is>
          <t>Production, exports, feedstock, emissions, expansion project details.</t>
        </is>
      </c>
    </row>
    <row r="5">
      <c r="A5" s="6" t="inlineStr">
        <is>
          <t>S4</t>
        </is>
      </c>
      <c r="B5" s="6" t="inlineStr">
        <is>
          <t>pdf</t>
        </is>
      </c>
      <c r="C5" s="6" t="inlineStr">
        <is>
          <t>World Bank Pink Sheet (March 2026)</t>
        </is>
      </c>
      <c r="D5" s="6" t="inlineStr">
        <is>
          <t>World Bank Prospects Group</t>
        </is>
      </c>
      <c r="E5" s="6" t="n">
        <v>2026</v>
      </c>
      <c r="F5" s="6" t="inlineStr">
        <is>
          <t>https://thedocs.worldbank.org/en/doc/74e8be41ceb20fa0da750cda2f6b9e4e-0050012026/related/CMO-Pink-Sheet-March-2026.pdf</t>
        </is>
      </c>
      <c r="G5" s="6" t="inlineStr">
        <is>
          <t>FastLane_Prices_PinkSheet</t>
        </is>
      </c>
      <c r="H5" s="6" t="inlineStr">
        <is>
          <t>Price series for fertilizers and energy feedstocks.</t>
        </is>
      </c>
    </row>
    <row r="6">
      <c r="A6" s="6" t="inlineStr">
        <is>
          <t>S5</t>
        </is>
      </c>
      <c r="B6" s="6" t="inlineStr">
        <is>
          <t>web</t>
        </is>
      </c>
      <c r="C6" s="6" t="inlineStr">
        <is>
          <t>EIA Today in Energy: Strait of Hormuz</t>
        </is>
      </c>
      <c r="D6" s="6" t="inlineStr">
        <is>
          <t>U.S. Energy Information Administration</t>
        </is>
      </c>
      <c r="E6" s="6" t="n">
        <v>2025</v>
      </c>
      <c r="F6" s="6" t="inlineStr">
        <is>
          <t>https://www.eia.gov/todayinenergy/detail.php?id=65504</t>
        </is>
      </c>
      <c r="G6" s="6" t="inlineStr">
        <is>
          <t>SlowLane_Edges</t>
        </is>
      </c>
      <c r="H6" s="6" t="inlineStr">
        <is>
          <t>Chokepoint context for exports leaving Persian Gulf.</t>
        </is>
      </c>
    </row>
    <row r="7">
      <c r="A7" s="6" t="inlineStr">
        <is>
          <t>S6</t>
        </is>
      </c>
      <c r="B7" s="6" t="inlineStr">
        <is>
          <t>pdf</t>
        </is>
      </c>
      <c r="C7" s="6" t="inlineStr">
        <is>
          <t>FAOSTAT Fertilizers by Product methodological note</t>
        </is>
      </c>
      <c r="D7" s="6" t="inlineStr">
        <is>
          <t>FAO</t>
        </is>
      </c>
      <c r="E7" s="6" t="n">
        <v>2025</v>
      </c>
      <c r="F7" s="6" t="inlineStr">
        <is>
          <t>https://files-faostat.fao.org/production/RFB/RFB_EN_README.pdf</t>
        </is>
      </c>
      <c r="G7" s="6" t="inlineStr">
        <is>
          <t>FastLane_FAOSTAT_Schema</t>
        </is>
      </c>
      <c r="H7" s="6" t="inlineStr">
        <is>
          <t>Scope, time coverage, HS code mapping, methodology.</t>
        </is>
      </c>
    </row>
    <row r="8">
      <c r="A8" s="6" t="inlineStr">
        <is>
          <t>S8</t>
        </is>
      </c>
      <c r="B8" s="6" t="inlineStr">
        <is>
          <t>web</t>
        </is>
      </c>
      <c r="C8" s="6" t="inlineStr">
        <is>
          <t>QAFCO Home / About</t>
        </is>
      </c>
      <c r="D8" s="6" t="inlineStr">
        <is>
          <t>QAFCO</t>
        </is>
      </c>
      <c r="E8" s="6" t="n">
        <v>2026</v>
      </c>
      <c r="F8" s="6" t="inlineStr">
        <is>
          <t>https://www.qafco.qa/en/</t>
        </is>
      </c>
      <c r="G8" s="6" t="inlineStr">
        <is>
          <t>SlowLane_Nodes; SlowLane_Edges; FastLane_Operations</t>
        </is>
      </c>
      <c r="H8" s="6" t="inlineStr">
        <is>
          <t>Core facts: annual capacities, world-scale position, 14% urea share.</t>
        </is>
      </c>
    </row>
    <row r="9">
      <c r="A9" s="6" t="inlineStr">
        <is>
          <t>S9</t>
        </is>
      </c>
      <c r="B9" s="6" t="inlineStr">
        <is>
          <t>web</t>
        </is>
      </c>
      <c r="C9" s="6" t="inlineStr">
        <is>
          <t>QAFCO Our Products</t>
        </is>
      </c>
      <c r="D9" s="6" t="inlineStr">
        <is>
          <t>QAFCO</t>
        </is>
      </c>
      <c r="E9" s="6" t="n">
        <v>2026</v>
      </c>
      <c r="F9" s="6" t="inlineStr">
        <is>
          <t>https://www.qafco.qa/en/our-products/</t>
        </is>
      </c>
      <c r="G9" s="6" t="inlineStr">
        <is>
          <t>SlowLane_Nodes</t>
        </is>
      </c>
      <c r="H9" s="6" t="inlineStr">
        <is>
          <t>UFC-85 and product portfolio details.</t>
        </is>
      </c>
    </row>
    <row r="10">
      <c r="A10" s="6" t="inlineStr">
        <is>
          <t>S10</t>
        </is>
      </c>
      <c r="B10" s="6" t="inlineStr">
        <is>
          <t>web</t>
        </is>
      </c>
      <c r="C10" s="6" t="inlineStr">
        <is>
          <t>Qatar Melamine Company (QMC)</t>
        </is>
      </c>
      <c r="D10" s="6" t="inlineStr">
        <is>
          <t>QAFCO</t>
        </is>
      </c>
      <c r="E10" s="6" t="n">
        <v>2026</v>
      </c>
      <c r="F10" s="6" t="inlineStr">
        <is>
          <t>https://www.qafco.qa/en/about/qatar-melamine-company-qmc/</t>
        </is>
      </c>
      <c r="G10" s="6" t="inlineStr">
        <is>
          <t>SlowLane_Nodes</t>
        </is>
      </c>
      <c r="H10" s="6" t="inlineStr">
        <is>
          <t>QMC ownership and downstream diversification.</t>
        </is>
      </c>
    </row>
    <row r="11">
      <c r="A11" s="6" t="inlineStr">
        <is>
          <t>S11</t>
        </is>
      </c>
      <c r="B11" s="6" t="inlineStr">
        <is>
          <t>web</t>
        </is>
      </c>
      <c r="C11" s="6" t="inlineStr">
        <is>
          <t>Industries Qatar - QAFCO profile</t>
        </is>
      </c>
      <c r="D11" s="6" t="inlineStr">
        <is>
          <t>Industries Qatar</t>
        </is>
      </c>
      <c r="E11" s="6" t="n">
        <v>2026</v>
      </c>
      <c r="F11" s="6" t="inlineStr">
        <is>
          <t>https://iq.com.qa/en/about-iq/iq-group-companies/fertiliser/qatar-fertiliser-company-qafco/</t>
        </is>
      </c>
      <c r="G11" s="6" t="inlineStr">
        <is>
          <t>SlowLane_Nodes; SlowLane_Edges</t>
        </is>
      </c>
      <c r="H11" s="6" t="inlineStr">
        <is>
          <t>Internal ammonia use and product sales/capacity profile.</t>
        </is>
      </c>
    </row>
    <row r="12">
      <c r="A12" s="6" t="inlineStr">
        <is>
          <t>S12</t>
        </is>
      </c>
      <c r="B12" s="6" t="inlineStr">
        <is>
          <t>web</t>
        </is>
      </c>
      <c r="C12" s="6" t="inlineStr">
        <is>
          <t>Port of Mesaieed</t>
        </is>
      </c>
      <c r="D12" s="6" t="inlineStr">
        <is>
          <t>QatarEnergy</t>
        </is>
      </c>
      <c r="E12" s="6" t="n">
        <v>2026</v>
      </c>
      <c r="F12" s="6" t="inlineStr">
        <is>
          <t>https://www.mesaieedport.qatarenergy.qa/</t>
        </is>
      </c>
      <c r="G12" s="6" t="inlineStr">
        <is>
          <t>SlowLane_Nodes; SlowLane_Edges</t>
        </is>
      </c>
      <c r="H12" s="6" t="inlineStr">
        <is>
          <t>Port/logistics role and fertilizer export history.</t>
        </is>
      </c>
    </row>
    <row r="13">
      <c r="A13" s="6" t="inlineStr">
        <is>
          <t>S13</t>
        </is>
      </c>
      <c r="B13" s="6" t="inlineStr">
        <is>
          <t>web</t>
        </is>
      </c>
      <c r="C13" s="6" t="inlineStr">
        <is>
          <t>North Field overview</t>
        </is>
      </c>
      <c r="D13" s="6" t="inlineStr">
        <is>
          <t>QatarEnergy LNG</t>
        </is>
      </c>
      <c r="E13" s="6" t="n">
        <v>2026</v>
      </c>
      <c r="F13" s="6" t="inlineStr">
        <is>
          <t>https://www.qatarenergylng.qa/english/About-Us/North-Field</t>
        </is>
      </c>
      <c r="G13" s="6" t="inlineStr">
        <is>
          <t>SlowLane_Nodes; SlowLane_Edges</t>
        </is>
      </c>
      <c r="H13" s="6" t="inlineStr">
        <is>
          <t>North Field size and strategic importance.</t>
        </is>
      </c>
    </row>
    <row r="14">
      <c r="A14" s="6" t="inlineStr">
        <is>
          <t>S14</t>
        </is>
      </c>
      <c r="B14" s="6" t="inlineStr">
        <is>
          <t>pdf</t>
        </is>
      </c>
      <c r="C14" s="6" t="inlineStr">
        <is>
          <t>OECD: Understanding the resilience of fertiliser markets to shocks</t>
        </is>
      </c>
      <c r="D14" s="6" t="inlineStr">
        <is>
          <t>OECD</t>
        </is>
      </c>
      <c r="E14" s="6" t="n">
        <v>2024</v>
      </c>
      <c r="F14" s="6" t="inlineStr">
        <is>
          <t>https://www.oecd.org/content/dam/oecd/en/publications/reports/2024/06/understanding-the-resilience-of-fertiliser-markets-to-shocks_c8c4806f/43664170-en.pdf</t>
        </is>
      </c>
      <c r="G14" s="6" t="inlineStr">
        <is>
          <t>SlowLane_Nodes; SlowLane_Edges</t>
        </is>
      </c>
      <c r="H14" s="6" t="inlineStr">
        <is>
          <t>Large importer context for India and Brazil.</t>
        </is>
      </c>
    </row>
    <row r="15">
      <c r="A15" s="6" t="inlineStr">
        <is>
          <t>S15</t>
        </is>
      </c>
      <c r="B15" s="6" t="inlineStr">
        <is>
          <t>web</t>
        </is>
      </c>
      <c r="C15" s="6" t="inlineStr">
        <is>
          <t>IFPRI blog: The Iran war - potential food security impacts</t>
        </is>
      </c>
      <c r="D15" s="6" t="inlineStr">
        <is>
          <t>IFPRI</t>
        </is>
      </c>
      <c r="E15" s="6" t="n">
        <v>2026</v>
      </c>
      <c r="F15" s="6" t="inlineStr">
        <is>
          <t>https://www.ifpri.org/blog/the-iran-war-potential-food-security-impacts/</t>
        </is>
      </c>
      <c r="G15" s="6" t="inlineStr">
        <is>
          <t>SlowLane_Edges; SlowLane_CaseStudies</t>
        </is>
      </c>
      <c r="H15" s="6" t="inlineStr">
        <is>
          <t>Recent conflict-to-fertilizer-to-food-security linkage.</t>
        </is>
      </c>
    </row>
    <row r="16">
      <c r="A16" s="6" t="inlineStr">
        <is>
          <t>S16</t>
        </is>
      </c>
      <c r="B16" s="6" t="inlineStr">
        <is>
          <t>news</t>
        </is>
      </c>
      <c r="C16" s="6" t="inlineStr">
        <is>
          <t>Reuters: QatarEnergy to double annual urea production</t>
        </is>
      </c>
      <c r="D16" s="6" t="inlineStr">
        <is>
          <t>Reuters</t>
        </is>
      </c>
      <c r="E16" s="6" t="n">
        <v>2024</v>
      </c>
      <c r="F16" s="6" t="inlineStr">
        <is>
          <t>https://www.reuters.com/business/energy/qatarenergy-double-annual-urea-production-2024-09-01/</t>
        </is>
      </c>
      <c r="G16" s="6" t="inlineStr">
        <is>
          <t>SlowLane_Nodes; SlowLane_Edges; SlowLane_CaseStudies</t>
        </is>
      </c>
      <c r="H16" s="6" t="inlineStr">
        <is>
          <t>Expansion plans and future capacity uplift.</t>
        </is>
      </c>
    </row>
    <row r="17">
      <c r="A17" s="6" t="inlineStr">
        <is>
          <t>S17</t>
        </is>
      </c>
      <c r="B17" s="6" t="inlineStr">
        <is>
          <t>pdf</t>
        </is>
      </c>
      <c r="C17" s="6" t="inlineStr">
        <is>
          <t>QAFCO 2023 ESG Report</t>
        </is>
      </c>
      <c r="D17" s="6" t="inlineStr">
        <is>
          <t>QAFCO</t>
        </is>
      </c>
      <c r="E17" s="6" t="n">
        <v>2023</v>
      </c>
      <c r="F17" s="6" t="inlineStr">
        <is>
          <t>https://www.qafco.qa/wp-content/uploads/2025/01/QAFCO_2023_ESG-REPORT.pdf</t>
        </is>
      </c>
      <c r="G17" s="6" t="inlineStr">
        <is>
          <t>FastLane_Operations; SlowLane_Nodes</t>
        </is>
      </c>
      <c r="H17" s="6" t="inlineStr">
        <is>
          <t>2023 production and profile details.</t>
        </is>
      </c>
    </row>
    <row r="18">
      <c r="A18" s="6" t="inlineStr">
        <is>
          <t>S18</t>
        </is>
      </c>
      <c r="B18" s="6" t="inlineStr">
        <is>
          <t>pdf</t>
        </is>
      </c>
      <c r="C18" s="6" t="inlineStr">
        <is>
          <t>FAO Focus on fertilizers / trade flows</t>
        </is>
      </c>
      <c r="D18" s="6" t="inlineStr">
        <is>
          <t>FAO</t>
        </is>
      </c>
      <c r="E18" s="6" t="n">
        <v>2024</v>
      </c>
      <c r="F18" s="6" t="inlineStr">
        <is>
          <t>https://openknowledge.fao.org/server/api/core/bitstreams/f981b7a6-a2bb-46ff-9cf7-b00b177307ab/content</t>
        </is>
      </c>
      <c r="G18" s="6" t="inlineStr">
        <is>
          <t>SlowLane_CaseStudies</t>
        </is>
      </c>
      <c r="H18" s="6" t="inlineStr">
        <is>
          <t>Trade-flow and exporter/importer context around global fertilizer shocks.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21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>
      <c r="A1" s="5" t="inlineStr">
        <is>
          <t>case_id</t>
        </is>
      </c>
      <c r="B1" s="5" t="inlineStr">
        <is>
          <t>year_or_date</t>
        </is>
      </c>
      <c r="C1" s="5" t="inlineStr">
        <is>
          <t>shock_event</t>
        </is>
      </c>
      <c r="D1" s="5" t="inlineStr">
        <is>
          <t>primary_node</t>
        </is>
      </c>
      <c r="E1" s="5" t="inlineStr">
        <is>
          <t>shock_type</t>
        </is>
      </c>
      <c r="F1" s="5" t="inlineStr">
        <is>
          <t>causal_path</t>
        </is>
      </c>
      <c r="G1" s="5" t="inlineStr">
        <is>
          <t>observed_or_expected_effect</t>
        </is>
      </c>
      <c r="H1" s="5" t="inlineStr">
        <is>
          <t>relevance_to_qafco_network</t>
        </is>
      </c>
      <c r="I1" s="5" t="inlineStr">
        <is>
          <t>source_url</t>
        </is>
      </c>
      <c r="J1" s="5" t="inlineStr">
        <is>
          <t>notes</t>
        </is>
      </c>
    </row>
    <row r="2">
      <c r="A2" s="6" t="inlineStr">
        <is>
          <t>C1</t>
        </is>
      </c>
      <c r="B2" s="6" t="inlineStr">
        <is>
          <t>2017-2021</t>
        </is>
      </c>
      <c r="C2" s="6" t="inlineStr">
        <is>
          <t>Qatar diplomatic crisis and shipping rerouting</t>
        </is>
      </c>
      <c r="D2" s="6" t="inlineStr">
        <is>
          <t>MESAIEED_PORT</t>
        </is>
      </c>
      <c r="E2" s="6" t="inlineStr">
        <is>
          <t>geopolitical / logistics</t>
        </is>
      </c>
      <c r="F2" s="6" t="inlineStr">
        <is>
          <t>Regional restrictions and rerouting raise logistics complexity -&gt; potential delivery delays / higher costs</t>
        </is>
      </c>
      <c r="G2" s="6" t="inlineStr">
        <is>
          <t>Illustrates export-route fragility even when production assets remain online.</t>
        </is>
      </c>
      <c r="H2" s="6" t="inlineStr">
        <is>
          <t>Shows why port and route nodes matter, not just plant nodes.</t>
        </is>
      </c>
      <c r="I2" s="6" t="inlineStr">
        <is>
          <t>https://www.qafco.qa/wp-content/uploads/2024/12/QAFCO_Substainability_Report_20210407_FINAL-1.pdf</t>
        </is>
      </c>
      <c r="J2" s="6" t="inlineStr">
        <is>
          <t>Company reports from this period discuss maintaining exports to &gt;35 countries despite a turbulent regional backdrop.</t>
        </is>
      </c>
    </row>
    <row r="3">
      <c r="A3" s="6" t="inlineStr">
        <is>
          <t>C2</t>
        </is>
      </c>
      <c r="B3" s="6" t="inlineStr">
        <is>
          <t>2022</t>
        </is>
      </c>
      <c r="C3" s="6" t="inlineStr">
        <is>
          <t>Global fertilizer shock after Russia-Ukraine war and gas-price spike</t>
        </is>
      </c>
      <c r="D3" s="6" t="inlineStr">
        <is>
          <t>GLOBAL_FOOD_PRICES</t>
        </is>
      </c>
      <c r="E3" s="6" t="inlineStr">
        <is>
          <t>global supply / price shock</t>
        </is>
      </c>
      <c r="F3" s="6" t="inlineStr">
        <is>
          <t>Gas and fertilizer disruptions -&gt; higher nitrogen prices -&gt; higher farm input costs -&gt; food inflation</t>
        </is>
      </c>
      <c r="G3" s="6" t="inlineStr">
        <is>
          <t>Benchmark case for Apex causal maps from fertilizer to food security and sovereign stress.</t>
        </is>
      </c>
      <c r="H3" s="6" t="inlineStr">
        <is>
          <t>Helps contextualize why a QAFCO outage or Gulf disruption matters globally.</t>
        </is>
      </c>
      <c r="I3" s="6" t="inlineStr">
        <is>
          <t>https://openknowledge.fao.org/server/api/core/bitstreams/f981b7a6-a2bb-46ff-9cf7-b00b177307ab/content</t>
        </is>
      </c>
      <c r="J3" s="6" t="inlineStr">
        <is>
          <t>FAO notes major changes in fertilizer trade flows and exporter/importer rankings during the fertilizer crisis period.</t>
        </is>
      </c>
    </row>
    <row r="4">
      <c r="A4" s="6" t="inlineStr">
        <is>
          <t>C3</t>
        </is>
      </c>
      <c r="B4" s="6" t="inlineStr">
        <is>
          <t>2024-09-01</t>
        </is>
      </c>
      <c r="C4" s="6" t="inlineStr">
        <is>
          <t>QatarEnergy announces world-scale fertilizer expansion</t>
        </is>
      </c>
      <c r="D4" s="6" t="inlineStr">
        <is>
          <t>QAFCO7_BLUE_AMMONIA</t>
        </is>
      </c>
      <c r="E4" s="6" t="inlineStr">
        <is>
          <t>capacity expansion / resilience</t>
        </is>
      </c>
      <c r="F4" s="6" t="inlineStr">
        <is>
          <t>New blue ammonia + planned urea lines -&gt; future supply buffer and lower-carbon production chain</t>
        </is>
      </c>
      <c r="G4" s="6" t="inlineStr">
        <is>
          <t>Expected to raise Qatar urea capacity from ~6 mtpa to &gt;12.4 mtpa post-2030.</t>
        </is>
      </c>
      <c r="H4" s="6" t="inlineStr">
        <is>
          <t>Important positive/resilience case: new nodes reduce scarcity risk over time.</t>
        </is>
      </c>
      <c r="I4" s="6" t="inlineStr">
        <is>
          <t>https://www.reuters.com/business/energy/qatarenergy-double-annual-urea-production-2024-09-01/</t>
        </is>
      </c>
      <c r="J4" s="6" t="inlineStr">
        <is>
          <t>Reuters reports four new urea lines and large production increase.</t>
        </is>
      </c>
    </row>
    <row r="5">
      <c r="A5" s="6" t="inlineStr">
        <is>
          <t>C4</t>
        </is>
      </c>
      <c r="B5" s="6" t="inlineStr">
        <is>
          <t>2025-2026</t>
        </is>
      </c>
      <c r="C5" s="6" t="inlineStr">
        <is>
          <t>Middle East tensions and Hormuz risk raise fertilizer concerns</t>
        </is>
      </c>
      <c r="D5" s="6" t="inlineStr">
        <is>
          <t>STRAIT_OF_HORMUZ</t>
        </is>
      </c>
      <c r="E5" s="6" t="inlineStr">
        <is>
          <t>chokepoint / conflict</t>
        </is>
      </c>
      <c r="F5" s="6" t="inlineStr">
        <is>
          <t>Hormuz disruption risk -&gt; Gulf fertilizer exports delayed -&gt; price spike -&gt; food security pressure</t>
        </is>
      </c>
      <c r="G5" s="6" t="inlineStr">
        <is>
          <t>IFPRI and Farm Bureau note Qatar, Saudi Arabia, Bahrain and Oman are major fertilizer exporters exposed to Gulf conflict.</t>
        </is>
      </c>
      <c r="H5" s="6" t="inlineStr">
        <is>
          <t>Directly validates the Hormuz node/edge around QAFCO exports.</t>
        </is>
      </c>
      <c r="I5" s="6" t="inlineStr">
        <is>
          <t>https://www.ifpri.org/blog/the-iran-war-potential-food-security-impacts/</t>
        </is>
      </c>
      <c r="J5" s="6" t="inlineStr">
        <is>
          <t>Recent policy analysis ties Gulf conflict to fertilizer and food security impacts.</t>
        </is>
      </c>
    </row>
    <row r="6">
      <c r="A6" s="6" t="inlineStr">
        <is>
          <t>C5</t>
        </is>
      </c>
      <c r="B6" s="6" t="inlineStr">
        <is>
          <t>2024</t>
        </is>
      </c>
      <c r="C6" s="6" t="inlineStr">
        <is>
          <t>Record QAFCO urea exports despite tight global market</t>
        </is>
      </c>
      <c r="D6" s="6" t="inlineStr">
        <is>
          <t>QAFCO_UREA_PRODUCT</t>
        </is>
      </c>
      <c r="E6" s="6" t="inlineStr">
        <is>
          <t>operational performance / market transmission</t>
        </is>
      </c>
      <c r="F6" s="6" t="inlineStr">
        <is>
          <t>High QAFCO exports -&gt; supports global availability and dampens supply tightness relative to counterfactual</t>
        </is>
      </c>
      <c r="G6" s="6" t="inlineStr">
        <is>
          <t>Record 5,694,704 MT urea exports in 2024 underline the company’s market importance.</t>
        </is>
      </c>
      <c r="H6" s="6" t="inlineStr">
        <is>
          <t>Positive case showing why QAFCO is a systemically important supply node.</t>
        </is>
      </c>
      <c r="I6" s="6" t="inlineStr">
        <is>
          <t>https://www.qafco.qa/wp-content/uploads/2025/07/QAFCO-2024-ESG-Report.pdf</t>
        </is>
      </c>
      <c r="J6" s="6" t="inlineStr">
        <is>
          <t>QAFCO states 2024 record exports beat the prior 2022 record.</t>
        </is>
      </c>
    </row>
    <row r="7">
      <c r="A7" s="6" t="inlineStr">
        <is>
          <t>C6</t>
        </is>
      </c>
      <c r="B7" s="6" t="inlineStr">
        <is>
          <t>2023-2024</t>
        </is>
      </c>
      <c r="C7" s="6" t="inlineStr">
        <is>
          <t>EU CBAM preparation for carbon-intensive imports</t>
        </is>
      </c>
      <c r="D7" s="6" t="inlineStr">
        <is>
          <t>QAFCO_1_4_SITE</t>
        </is>
      </c>
      <c r="E7" s="6" t="inlineStr">
        <is>
          <t>regulatory / carbon policy</t>
        </is>
      </c>
      <c r="F7" s="6" t="inlineStr">
        <is>
          <t>Carbon border rules -&gt; reporting/compliance costs -&gt; trade competitiveness pressure for fertilizer exporters</t>
        </is>
      </c>
      <c r="G7" s="6" t="inlineStr">
        <is>
          <t>QAFCO launched CBAM implementation work in 2023-2024.</t>
        </is>
      </c>
      <c r="H7" s="6" t="inlineStr">
        <is>
          <t>Adds a non-physical vulnerability channel: regulation and market access risk.</t>
        </is>
      </c>
      <c r="I7" s="6" t="inlineStr">
        <is>
          <t>https://www.qafco.qa/wp-content/uploads/2025/07/QAFCO-2024-ESG-Report.pdf</t>
        </is>
      </c>
      <c r="J7" s="6" t="inlineStr">
        <is>
          <t>Useful for vulnerability_notes and longer-term competitiveness analysis.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2026-03-12T17:47:58Z</dcterms:created>
  <dcterms:modified xmlns:dcterms="http://purl.org/dc/terms/" xmlns:xsi="http://www.w3.org/2001/XMLSchema-instance" xsi:type="dcterms:W3CDTF">2026-03-12T18:20:01Z</dcterms:modified>
</cp:coreProperties>
</file>