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zouyichen/Downloads/"/>
    </mc:Choice>
  </mc:AlternateContent>
  <xr:revisionPtr revIDLastSave="0" documentId="8_{B1BC1A5A-0A65-4346-BDCA-E086E8FC8F28}" xr6:coauthVersionLast="47" xr6:coauthVersionMax="47" xr10:uidLastSave="{00000000-0000-0000-0000-000000000000}"/>
  <bookViews>
    <workbookView xWindow="0" yWindow="740" windowWidth="29400" windowHeight="17380" activeTab="6" xr2:uid="{00000000-000D-0000-FFFF-FFFF00000000}"/>
  </bookViews>
  <sheets>
    <sheet name="CountryTimeSeries" sheetId="1" r:id="rId1"/>
    <sheet name="CrossBorderFlows_BIS" sheetId="2" r:id="rId2"/>
    <sheet name="BlackRockFunds_EMD" sheetId="3" r:id="rId3"/>
    <sheet name="FundHoldings_Snapshot" sheetId="4" r:id="rId4"/>
    <sheet name="SovereignEvents" sheetId="5" r:id="rId5"/>
    <sheet name="CrisisWindows_Panel" sheetId="6" r:id="rId6"/>
    <sheet name="Documentation" sheetId="7" r:id="rId7"/>
    <sheet name="Legacy_Sovereign_Snapshot" sheetId="8" r:id="rId8"/>
    <sheet name="Legacy_Methodology" sheetId="9" r:id="rId9"/>
    <sheet name="Legacy_Source_Catalog" sheetId="10" r:id="rId10"/>
    <sheet name="Legacy_Summary" sheetId="11" r:id="rId11"/>
  </sheets>
  <definedNames>
    <definedName name="_xlnm._FilterDatabase" localSheetId="2" hidden="1">BlackRockFunds_EMD!$A$1:$M$21</definedName>
    <definedName name="_xlnm._FilterDatabase" localSheetId="0" hidden="1">CountryTimeSeries!$A$1:$L$301</definedName>
    <definedName name="_xlnm._FilterDatabase" localSheetId="5" hidden="1">CrisisWindows_Panel!$A$1:$M$22</definedName>
    <definedName name="_xlnm._FilterDatabase" localSheetId="1" hidden="1">CrossBorderFlows_BIS!$A$1:$H$51</definedName>
    <definedName name="_xlnm._FilterDatabase" localSheetId="6" hidden="1">Documentation!$A$1:$C$19</definedName>
    <definedName name="_xlnm._FilterDatabase" localSheetId="3" hidden="1">FundHoldings_Snapshot!$A$1:$J$21</definedName>
    <definedName name="_xlnm._FilterDatabase" localSheetId="4" hidden="1">SovereignEvents!$A$1:$I$6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2" l="1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F5" i="2"/>
  <c r="F4" i="2"/>
  <c r="F3" i="2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Public/open source annual series downloaded from World Bank indicator FI.RES.TOTL.CD (source: IMF IFS).</t>
        </r>
      </text>
    </comment>
    <comment ref="E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Public/open source annual series downloaded from World Bank indicator DT.DOD.DECT.CD (International Debt Statistics).</t>
        </r>
      </text>
    </comment>
    <comment ref="F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Public/open source annual series downloaded from World Bank indicator GC.DOD.TOTL.GD.ZS (source: IMF Government Finance Statistics).</t>
        </r>
      </text>
    </comment>
    <comment ref="G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Public/open source annual series downloaded from World Bank indicator BN.CAB.XOKA.CD (source: IMF BoP Statistics).</t>
        </r>
      </text>
    </comment>
    <comment ref="H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Public/open source annual series downloaded from World Bank indicator PA.NUS.FCRF (official exchange rate, LCU per USD).</t>
        </r>
      </text>
    </comment>
    <comment ref="I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Derived in-workbook as annual exchange-rate change proxy from column H; retained under requested YTD schema label.</t>
        </r>
      </text>
    </comment>
    <comment ref="J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Left blank where an official policy-rate series was not ingested in-session from a public bulk source.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Starter panel from public Central Bank of Ireland consolidated banking-statistics releases (BIS-style methodology). Source series are reported in EUR millions; requested USD schema header is retained for compatibility and documented on the Documentation tab.</t>
        </r>
      </text>
    </comment>
    <comment ref="F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Calculated in-workbook QoQ % change.</t>
        </r>
      </text>
    </comment>
    <comment ref="G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Calculated in-workbook YoY % change versus four quarters earlier.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Source: https://www.blackrock.com/us/financial-professionals/products/239572/ishares-jp-morgan-usd-emerging-markets-bond-etf</t>
        </r>
      </text>
    </comment>
    <comment ref="A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Source: https://www.blackrock.com/us/individual/products/239528/ishares-emerging-markets-local-currency-bond-etf</t>
        </r>
      </text>
    </comment>
    <comment ref="A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Source: https://www.blackrock.com/ch/individual/en/products/251724/ishares-emerging-markets-local-government-bond-ucits-etf</t>
        </r>
      </text>
    </comment>
    <comment ref="A5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Source: https://www.blackrock.com/lu/intermediaries/products/283361/bgif-blackrock-emerging-markets-government-bond-index-fund-i2-eur-edged</t>
        </r>
      </text>
    </comment>
    <comment ref="A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Sources: https://www.blackrock.com/uk/individual/products/228473/blackrock-emerging-markets-bond-a2-usd-fund and https://www.blackrock.com/sg/en/literature/fact-sheet/bgf-emerging-markets-bond-fund-class-a1-usd-factsheet-lu0200680436-sg-en-individual.pdf</t>
        </r>
      </text>
    </comment>
    <comment ref="A7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Sources: https://www.blackrock.com/uk/individual/products/228473/blackrock-emerging-markets-bond-a2-usd-fund and https://www.blackrock.com/sg/en/literature/fact-sheet/bgf-emerging-markets-bond-fund-class-a1-usd-factsheet-lu0200680436-sg-en-individual.pdf</t>
        </r>
      </text>
    </comment>
    <comment ref="A8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Sources: https://www.blackrock.com/uk/individual/products/228473/blackrock-emerging-markets-bond-a2-usd-fund and https://www.blackrock.com/sg/en/literature/fact-sheet/bgf-emerging-markets-bond-fund-class-a1-usd-factsheet-lu0200680436-sg-en-individual.pdf</t>
        </r>
      </text>
    </comment>
    <comment ref="A9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Sources: https://www.blackrock.com/uk/individual/products/228473/blackrock-emerging-markets-bond-a2-usd-fund and https://www.blackrock.com/sg/en/literature/fact-sheet/bgf-emerging-markets-bond-fund-class-a1-usd-factsheet-lu0200680436-sg-en-individual.pdf</t>
        </r>
      </text>
    </comment>
    <comment ref="A10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Sources: https://www.blackrock.com/uk/individual/products/228473/blackrock-emerging-markets-bond-a2-usd-fund and https://www.blackrock.com/sg/en/literature/fact-sheet/bgf-emerging-markets-bond-fund-class-a1-usd-factsheet-lu0200680436-sg-en-individual.pdf</t>
        </r>
      </text>
    </comment>
    <comment ref="A1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Sources: https://www.blackrock.com/uk/individual/products/228473/blackrock-emerging-markets-bond-a2-usd-fund and https://www.blackrock.com/sg/en/literature/fact-sheet/bgf-emerging-markets-bond-fund-class-a1-usd-factsheet-lu0200680436-sg-en-individual.pdf</t>
        </r>
      </text>
    </comment>
    <comment ref="A1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Sources: https://www.blackrock.com/uk/individual/products/228473/blackrock-emerging-markets-bond-a2-usd-fund and https://www.blackrock.com/sg/en/literature/fact-sheet/bgf-emerging-markets-bond-fund-class-a1-usd-factsheet-lu0200680436-sg-en-individual.pdf</t>
        </r>
      </text>
    </comment>
    <comment ref="A13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Sources: https://www.blackrock.com/uk/individual/products/228473/blackrock-emerging-markets-bond-a2-usd-fund and https://www.blackrock.com/sg/en/literature/fact-sheet/bgf-emerging-markets-bond-fund-class-a1-usd-factsheet-lu0200680436-sg-en-individual.pdf</t>
        </r>
      </text>
    </comment>
    <comment ref="A1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Sources: https://www.blackrock.com/uk/individual/products/228473/blackrock-emerging-markets-bond-a2-usd-fund and https://www.blackrock.com/sg/en/literature/fact-sheet/bgf-emerging-markets-bond-fund-class-a1-usd-factsheet-lu0200680436-sg-en-individual.pdf</t>
        </r>
      </text>
    </comment>
    <comment ref="A15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Sources: https://www.blackrock.com/uk/individual/products/228473/blackrock-emerging-markets-bond-a2-usd-fund and https://www.blackrock.com/sg/en/literature/fact-sheet/bgf-emerging-markets-bond-fund-class-a1-usd-factsheet-lu0200680436-sg-en-individual.pdf</t>
        </r>
      </text>
    </comment>
    <comment ref="A16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Sources: https://www.blackrock.com/uk/individual/products/228473/blackrock-emerging-markets-bond-a2-usd-fund and https://www.blackrock.com/sg/en/literature/fact-sheet/bgf-emerging-markets-bond-fund-class-a1-usd-factsheet-lu0200680436-sg-en-individual.pdf</t>
        </r>
      </text>
    </comment>
    <comment ref="A17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Sources: https://www.blackrock.com/uk/individual/products/228473/blackrock-emerging-markets-bond-a2-usd-fund and https://www.blackrock.com/sg/en/literature/fact-sheet/bgf-emerging-markets-bond-fund-class-a1-usd-factsheet-lu0200680436-sg-en-individual.pdf</t>
        </r>
      </text>
    </comment>
    <comment ref="A18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Sources: https://www.blackrock.com/uk/individual/products/228473/blackrock-emerging-markets-bond-a2-usd-fund and https://www.blackrock.com/sg/en/literature/fact-sheet/bgf-emerging-markets-bond-fund-class-a1-usd-factsheet-lu0200680436-sg-en-individual.pdf</t>
        </r>
      </text>
    </comment>
    <comment ref="A19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Sources: https://www.blackrock.com/uk/individual/products/228473/blackrock-emerging-markets-bond-a2-usd-fund and https://www.blackrock.com/sg/en/literature/fact-sheet/bgf-emerging-markets-bond-fund-class-a1-usd-factsheet-lu0200680436-sg-en-individual.pdf</t>
        </r>
      </text>
    </comment>
    <comment ref="A20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Sources: https://www.blackrock.com/uk/individual/products/228473/blackrock-emerging-markets-bond-a2-usd-fund and https://www.blackrock.com/sg/en/literature/fact-sheet/bgf-emerging-markets-bond-fund-class-a1-usd-factsheet-lu0200680436-sg-en-individual.pdf</t>
        </r>
      </text>
    </comment>
    <comment ref="A2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Sources: https://www.blackrock.com/uk/individual/products/228473/blackrock-emerging-markets-bond-a2-usd-fund and https://www.blackrock.com/sg/en/literature/fact-sheet/bgf-emerging-markets-bond-fund-class-a1-usd-factsheet-lu0200680436-sg-en-individual.pdf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Source: https://www.blackrock.com/us/financial-professionals/products/239572/ishares-jp-morgan-usd-emerging-markets-bond-etf</t>
        </r>
      </text>
    </comment>
    <comment ref="A3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Source: https://www.blackrock.com/us/financial-professionals/products/239572/ishares-jp-morgan-usd-emerging-markets-bond-etf</t>
        </r>
      </text>
    </comment>
    <comment ref="A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Source: https://www.blackrock.com/us/financial-professionals/products/239572/ishares-jp-morgan-usd-emerging-markets-bond-etf</t>
        </r>
      </text>
    </comment>
    <comment ref="A5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Source: https://www.blackrock.com/us/financial-professionals/products/239572/ishares-jp-morgan-usd-emerging-markets-bond-etf</t>
        </r>
      </text>
    </comment>
    <comment ref="A6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Source: https://www.blackrock.com/us/financial-professionals/products/239572/ishares-jp-morgan-usd-emerging-markets-bond-etf</t>
        </r>
      </text>
    </comment>
    <comment ref="A7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Source: https://www.blackrock.com/us/financial-professionals/products/239572/ishares-jp-morgan-usd-emerging-markets-bond-etf</t>
        </r>
      </text>
    </comment>
    <comment ref="A8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Source: https://www.blackrock.com/us/financial-professionals/products/239572/ishares-jp-morgan-usd-emerging-markets-bond-etf</t>
        </r>
      </text>
    </comment>
    <comment ref="A9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Source: https://www.blackrock.com/us/financial-professionals/products/239572/ishares-jp-morgan-usd-emerging-markets-bond-etf</t>
        </r>
      </text>
    </comment>
    <comment ref="A10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Source: https://www.blackrock.com/us/financial-professionals/products/239572/ishares-jp-morgan-usd-emerging-markets-bond-etf</t>
        </r>
      </text>
    </comment>
    <comment ref="A1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Source: https://www.blackrock.com/us/financial-professionals/products/239572/ishares-jp-morgan-usd-emerging-markets-bond-etf</t>
        </r>
      </text>
    </comment>
    <comment ref="A12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Source: https://www.blackrock.com/uk/individual/products/228473/blackrock-emerging-markets-bond-a2-usd-fund</t>
        </r>
      </text>
    </comment>
    <comment ref="A13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Source: https://www.blackrock.com/uk/individual/products/228473/blackrock-emerging-markets-bond-a2-usd-fund</t>
        </r>
      </text>
    </comment>
    <comment ref="A14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Source: https://www.blackrock.com/uk/individual/products/228473/blackrock-emerging-markets-bond-a2-usd-fund</t>
        </r>
      </text>
    </comment>
    <comment ref="A15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Source: https://www.blackrock.com/uk/individual/products/228473/blackrock-emerging-markets-bond-a2-usd-fund</t>
        </r>
      </text>
    </comment>
    <comment ref="A16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Source: https://www.blackrock.com/uk/individual/products/228473/blackrock-emerging-markets-bond-a2-usd-fund</t>
        </r>
      </text>
    </comment>
    <comment ref="A17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Source: https://www.blackrock.com/uk/individual/products/228473/blackrock-emerging-markets-bond-a2-usd-fund</t>
        </r>
      </text>
    </comment>
    <comment ref="A18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Source: https://www.blackrock.com/uk/individual/products/228473/blackrock-emerging-markets-bond-a2-usd-fund</t>
        </r>
      </text>
    </comment>
    <comment ref="A19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Source: https://www.blackrock.com/uk/individual/products/228473/blackrock-emerging-markets-bond-a2-usd-fund</t>
        </r>
      </text>
    </comment>
    <comment ref="A20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Source: https://www.blackrock.com/uk/individual/products/228473/blackrock-emerging-markets-bond-a2-usd-fund</t>
        </r>
      </text>
    </comment>
    <comment ref="A21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Source: https://www.blackrock.com/uk/individual/products/228473/blackrock-emerging-markets-bond-a2-usd-fund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Source: https://www.imf.org/en/news/articles/2022/03/25/pr2289-argentina-imf-exec-board-approves-extended-arrangement-concludes-2022-article-iv-consultation</t>
        </r>
      </text>
    </comment>
    <comment ref="A3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Source: https://www.imf.org/en/news/articles/2022/12/16/pr22441-egypt-imf-executive-board-approves-46-month-usd3b-extended-arrangement</t>
        </r>
      </text>
    </comment>
    <comment ref="A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Source: https://www.imf.org/en/news/articles/2023/03/20/pr2379-imf-executive-board-approves-under-the-new-eff-arrangement-for-sri-lanka</t>
        </r>
      </text>
    </comment>
    <comment ref="A5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Source: https://www.imf.org/en/news/articles/2023/05/17/pr23151-ghana-imf-executive-board-approves-extended-credit-facility-arrangement-for-ghana</t>
        </r>
      </text>
    </comment>
    <comment ref="A6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Source: public government/default reporting; verify against official ministry or IMF staff report before production use.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Event windows aligned from CountryTimeSeries around the event start dates in SovereignEvents. Because macro series populated here are annual World Bank series, the relative-month windows are sparse annual anchor observations rather than full monthly panels.</t>
        </r>
      </text>
    </comment>
  </commentList>
</comments>
</file>

<file path=xl/sharedStrings.xml><?xml version="1.0" encoding="utf-8"?>
<sst xmlns="http://schemas.openxmlformats.org/spreadsheetml/2006/main" count="1966" uniqueCount="424">
  <si>
    <t>company</t>
  </si>
  <si>
    <t>country</t>
  </si>
  <si>
    <t>date</t>
  </si>
  <si>
    <t>fx_reserves_usd</t>
  </si>
  <si>
    <t>external_debt_usd</t>
  </si>
  <si>
    <t>debt_to_gdp</t>
  </si>
  <si>
    <t>current_account_balance_usd</t>
  </si>
  <si>
    <t>exchange_rate_to_usd</t>
  </si>
  <si>
    <t>ytd_currency_change_percent</t>
  </si>
  <si>
    <t>policy_rate_percent</t>
  </si>
  <si>
    <t>imf_program_flag</t>
  </si>
  <si>
    <t>imf_program_name</t>
  </si>
  <si>
    <t>BlackRock</t>
  </si>
  <si>
    <t>Argentina</t>
  </si>
  <si>
    <t>No</t>
  </si>
  <si>
    <t>Yes</t>
  </si>
  <si>
    <t>Extended Fund Facility (EFF)</t>
  </si>
  <si>
    <t>Bangladesh</t>
  </si>
  <si>
    <t>Brazil</t>
  </si>
  <si>
    <t>Colombia</t>
  </si>
  <si>
    <t>Dominican Republic</t>
  </si>
  <si>
    <t>Egypt</t>
  </si>
  <si>
    <t>Ghana</t>
  </si>
  <si>
    <t>Extended Credit Facility (ECF)</t>
  </si>
  <si>
    <t>Jordan</t>
  </si>
  <si>
    <t>Ongoing IMF-supported program (public IMF country page)</t>
  </si>
  <si>
    <t>Kenya</t>
  </si>
  <si>
    <t>Lebanon</t>
  </si>
  <si>
    <t>Mexico</t>
  </si>
  <si>
    <t>Morocco</t>
  </si>
  <si>
    <t>Nigeria</t>
  </si>
  <si>
    <t>Pakistan</t>
  </si>
  <si>
    <t>IMF-supported arrangement (public IMF country page)</t>
  </si>
  <si>
    <t>Philippines</t>
  </si>
  <si>
    <t>Saudi Arabia</t>
  </si>
  <si>
    <t>Sri Lanka</t>
  </si>
  <si>
    <t>Tunisia</t>
  </si>
  <si>
    <t>Turkey</t>
  </si>
  <si>
    <t>Zambia</t>
  </si>
  <si>
    <t>reporting_country</t>
  </si>
  <si>
    <t>counterparty_country</t>
  </si>
  <si>
    <t>cross_border_bank_claims_usd</t>
  </si>
  <si>
    <t>claims_change_qoq_percent</t>
  </si>
  <si>
    <t>claims_change_yoy_percent</t>
  </si>
  <si>
    <t>instrument_type</t>
  </si>
  <si>
    <t>Ireland</t>
  </si>
  <si>
    <t>United Kingdom</t>
  </si>
  <si>
    <t>other</t>
  </si>
  <si>
    <t>United States</t>
  </si>
  <si>
    <t>France</t>
  </si>
  <si>
    <t>Spain</t>
  </si>
  <si>
    <t>Netherlands</t>
  </si>
  <si>
    <t>fund_name</t>
  </si>
  <si>
    <t>ticker</t>
  </si>
  <si>
    <t>vehicle_type</t>
  </si>
  <si>
    <t>domicile</t>
  </si>
  <si>
    <t>aum_usd</t>
  </si>
  <si>
    <t>benchmark</t>
  </si>
  <si>
    <t>management_fee_bps</t>
  </si>
  <si>
    <t>oer_bps</t>
  </si>
  <si>
    <t>duration_years</t>
  </si>
  <si>
    <t>ytm_percent</t>
  </si>
  <si>
    <t>em_sovereign_weight_percent</t>
  </si>
  <si>
    <t>hedging_policy</t>
  </si>
  <si>
    <t>iShares J.P. Morgan USD Emerging Markets Bond ETF</t>
  </si>
  <si>
    <t>EMB</t>
  </si>
  <si>
    <t>ETF</t>
  </si>
  <si>
    <t>US</t>
  </si>
  <si>
    <t>J.P. Morgan EMBI Global Core Index</t>
  </si>
  <si>
    <t>Unhedged</t>
  </si>
  <si>
    <t>iShares J.P. Morgan EM Local Currency Bond ETF</t>
  </si>
  <si>
    <t>LEMB</t>
  </si>
  <si>
    <t>J.P. Morgan GBI-EM Global Diversified 15% Cap 4% Floor Index (Net)</t>
  </si>
  <si>
    <t>Local currency / unhedged</t>
  </si>
  <si>
    <t>iShares J.P. Morgan EM Local Govt Bond UCITS ETF</t>
  </si>
  <si>
    <t>IEML</t>
  </si>
  <si>
    <t>UCITS ETF</t>
  </si>
  <si>
    <t>JP Morgan GBI-EM Global Diversified 10% Cap 1% Floor Index-NET USD</t>
  </si>
  <si>
    <t>iShares Emerging Markets Government Bond Index Fund (LU) | Class I2 Hedged</t>
  </si>
  <si>
    <t>UCITS fund</t>
  </si>
  <si>
    <t>Luxembourg</t>
  </si>
  <si>
    <t>JPM Emerging Markets Bond Index Global Diversified Custom Defaults</t>
  </si>
  <si>
    <t>EUR hedged</t>
  </si>
  <si>
    <t>BGF Emerging Markets Bond Fund | Class A2</t>
  </si>
  <si>
    <t>MLEMUA2</t>
  </si>
  <si>
    <t>JP Morgan EMBI Global Diversified Index (USD)</t>
  </si>
  <si>
    <t>BGF Emerging Markets Bond Fund | Class I5 Hedged</t>
  </si>
  <si>
    <t>BGF Emerging Markets Bond Fund | Class I4 Hedged</t>
  </si>
  <si>
    <t>GBP hedged</t>
  </si>
  <si>
    <t>BGF Emerging Markets Bond Fund | Class D2 Hedged</t>
  </si>
  <si>
    <t>BGF Emerging Markets Bond Fund | Class A2 Hedged</t>
  </si>
  <si>
    <t>BGF Emerging Markets Bond Fund | Class D3</t>
  </si>
  <si>
    <t>BGF Emerging Markets Bond Fund | Class D2</t>
  </si>
  <si>
    <t>BGF Emerging Markets Bond Fund | Class A3</t>
  </si>
  <si>
    <t>BGF Emerging Markets Bond Fund | Class I2 Hedged</t>
  </si>
  <si>
    <t>BGF Emerging Markets Bond Fund | Class I4</t>
  </si>
  <si>
    <t>BGF Emerging Markets Bond Fund | Class I2</t>
  </si>
  <si>
    <t>BGF Emerging Markets Bond Fund | Class A8 Hedged</t>
  </si>
  <si>
    <t>CNH hedged</t>
  </si>
  <si>
    <t>BGF Emerging Markets Bond Fund | Class A1</t>
  </si>
  <si>
    <t>MLEMUA1</t>
  </si>
  <si>
    <t>Unhedged (EUR share class)</t>
  </si>
  <si>
    <t>issuer_name</t>
  </si>
  <si>
    <t>region</t>
  </si>
  <si>
    <t>security_type</t>
  </si>
  <si>
    <t>currency</t>
  </si>
  <si>
    <t>weight_percent</t>
  </si>
  <si>
    <t>maturity_date</t>
  </si>
  <si>
    <t>coupon_percent</t>
  </si>
  <si>
    <t>TURKEY (REPUBLIC OF)</t>
  </si>
  <si>
    <t>MENA</t>
  </si>
  <si>
    <t>sovereign</t>
  </si>
  <si>
    <t>MEXICO (UNITED MEXICAN STATES) (GOVERNMENT)</t>
  </si>
  <si>
    <t>LATAM</t>
  </si>
  <si>
    <t>BRAZIL FEDERATIVE REPUBLIC OF (GOVERNMENT)</t>
  </si>
  <si>
    <t>SAUDI ARABIA KINGDOM OF (GOVERNMENT)</t>
  </si>
  <si>
    <t>COLOMBIA (REPUBLIC OF)</t>
  </si>
  <si>
    <t>DOMINICAN REPUBLIC (GOVERNMENT)</t>
  </si>
  <si>
    <t>PHILIPPINES (REPUBLIC OF)</t>
  </si>
  <si>
    <t>Asia</t>
  </si>
  <si>
    <t>Romania</t>
  </si>
  <si>
    <t>ROMANIA (REPUBLIC OF)</t>
  </si>
  <si>
    <t>Europe</t>
  </si>
  <si>
    <t>ARGENTINA REPUBLIC OF GOVERNMENT</t>
  </si>
  <si>
    <t>Panama</t>
  </si>
  <si>
    <t>PANAMA REPUBLIC OF (GOVERNMENT)</t>
  </si>
  <si>
    <t>2035-07-09</t>
  </si>
  <si>
    <t>Ukraine</t>
  </si>
  <si>
    <t>UKRAINE (REPUBLIC OF) A BONDS RegS</t>
  </si>
  <si>
    <t>2034-02-01</t>
  </si>
  <si>
    <t>2038-01-09</t>
  </si>
  <si>
    <t>UKRAINE (REPUBLIC OF) B BONDS MLB RegS</t>
  </si>
  <si>
    <t>2035-02-01</t>
  </si>
  <si>
    <t>ROMANIA (REPUBLIC OF) MTN RegS</t>
  </si>
  <si>
    <t>2035-03-24</t>
  </si>
  <si>
    <t>MEXICO (UNITED MEXICAN STATES) (GO</t>
  </si>
  <si>
    <t>2033-05-19</t>
  </si>
  <si>
    <t>2035-02-09</t>
  </si>
  <si>
    <t>Chile</t>
  </si>
  <si>
    <t>CHILE (REPUBLIC OF)</t>
  </si>
  <si>
    <t>2034-01-31</t>
  </si>
  <si>
    <t>GACI FIRST INVESTMENT CO MTN RegS</t>
  </si>
  <si>
    <t>quasi-sovereign</t>
  </si>
  <si>
    <t>2035-02-14</t>
  </si>
  <si>
    <t>Ecuador</t>
  </si>
  <si>
    <t>ECUADOR REPUBLIC OF (GOVERNMENT) RegS</t>
  </si>
  <si>
    <t>2035-07-31</t>
  </si>
  <si>
    <t>event_start_date</t>
  </si>
  <si>
    <t>event_end_date</t>
  </si>
  <si>
    <t>event_type</t>
  </si>
  <si>
    <t>description_short</t>
  </si>
  <si>
    <t>haircut_percent</t>
  </si>
  <si>
    <t>category3_relevance</t>
  </si>
  <si>
    <t>2022-03-25</t>
  </si>
  <si>
    <t>IMF program start</t>
  </si>
  <si>
    <t>IMF Executive Board approved a 30-month Extended Fund Facility for Argentina.</t>
  </si>
  <si>
    <t>FX stress; external financing; sovereign stress</t>
  </si>
  <si>
    <t>2022-12-16</t>
  </si>
  <si>
    <t>IMF Executive Board approved a 46-month Extended Fund Facility for Egypt.</t>
  </si>
  <si>
    <t>FX stress; reserve pressure; capital flight risk</t>
  </si>
  <si>
    <t>2023-03-20</t>
  </si>
  <si>
    <t>IMF Executive Board approved a new Extended Fund Facility for Sri Lanka.</t>
  </si>
  <si>
    <t>FX collapse; sovereign stress; banking stress</t>
  </si>
  <si>
    <t>2023-05-17</t>
  </si>
  <si>
    <t>IMF Executive Board approved an Extended Credit Facility arrangement for Ghana.</t>
  </si>
  <si>
    <t>Capital flight; sovereign stress; contagion</t>
  </si>
  <si>
    <t>2020-03-07</t>
  </si>
  <si>
    <t>default</t>
  </si>
  <si>
    <t>Government announced it would not pay a Eurobond maturing in March 2020.</t>
  </si>
  <si>
    <t>FX collapse; banking stress; sovereign default</t>
  </si>
  <si>
    <t>event_id</t>
  </si>
  <si>
    <t>window_relative_month</t>
  </si>
  <si>
    <t>net_portfolio_flows_usd</t>
  </si>
  <si>
    <t>sovereign_spread_bps or cds_5y_bps</t>
  </si>
  <si>
    <t>EVT_001</t>
  </si>
  <si>
    <t>EVT_002</t>
  </si>
  <si>
    <t>EVT_003</t>
  </si>
  <si>
    <t>EVT_004</t>
  </si>
  <si>
    <t>EVT_005</t>
  </si>
  <si>
    <t>field_name</t>
  </si>
  <si>
    <t>definition</t>
  </si>
  <si>
    <t>source_example</t>
  </si>
  <si>
    <t>Workbook note</t>
  </si>
  <si>
    <t>This revision fills the previously empty fast-lane tabs with public/open data while preserving the earlier slow-lane workbook content in Legacy_* tabs.</t>
  </si>
  <si>
    <t>/mnt/data/blackrock_fx_revised_public_workbook_filled.xlsx</t>
  </si>
  <si>
    <t>Category 3 scope</t>
  </si>
  <si>
    <t>Tracks currency devaluation, capital flight, sovereign stress, and contagion across Middle East / MENA and exposed EM countries.</t>
  </si>
  <si>
    <t>Project brief / user-provided schema</t>
  </si>
  <si>
    <t>CountryTimeSeries.company</t>
  </si>
  <si>
    <t>Company lens for the analysis; revised workbook uses BlackRock as the investing company focus.</t>
  </si>
  <si>
    <t>Internal workbook convention</t>
  </si>
  <si>
    <t>CountryTimeSeries.fx_reserves_usd</t>
  </si>
  <si>
    <t>Official reserves / total reserves in USD.</t>
  </si>
  <si>
    <t>World Bank Open Data indicator pages or IMF IFS official reserve series</t>
  </si>
  <si>
    <t>CountryTimeSeries.external_debt_usd</t>
  </si>
  <si>
    <t>External debt stock in USD.</t>
  </si>
  <si>
    <t>World Bank International Debt Statistics / IMF</t>
  </si>
  <si>
    <t>CountryTimeSeries.current_account_balance_usd</t>
  </si>
  <si>
    <t>Current account balance in USD.</t>
  </si>
  <si>
    <t>World Bank BoP / IMF external sector statistics</t>
  </si>
  <si>
    <t>CountryTimeSeries.exchange_rate_to_usd</t>
  </si>
  <si>
    <t>Local currency units per USD or quoted official exchange rate.</t>
  </si>
  <si>
    <t>IMF IFS or official central-bank series</t>
  </si>
  <si>
    <t>CountryTimeSeries.policy_rate_percent</t>
  </si>
  <si>
    <t>Official policy rate or closest main policy instrument.</t>
  </si>
  <si>
    <t>Official central-bank policy rate pages</t>
  </si>
  <si>
    <t>CrossBorderFlows_BIS.cross_border_bank_claims_usd</t>
  </si>
  <si>
    <t>Cross-border bank claims from reporting banking centers to EM/MENA counterparties.</t>
  </si>
  <si>
    <t>BIS consolidated banking statistics: https://www.bis.org/statistics/consstats.htm</t>
  </si>
  <si>
    <t>BlackRockFunds_EMD</t>
  </si>
  <si>
    <t>Public BlackRock fund/ETF profiles and factsheets for EM sovereign debt products and share classes.</t>
  </si>
  <si>
    <t>https://www.blackrock.com/us/financial-professionals/products/239572/ishares-jp-morgan-usd-emerging-markets-bond-etf</t>
  </si>
  <si>
    <t>FundHoldings_Snapshot</t>
  </si>
  <si>
    <t>Top issuer / portfolio holdings taken from public holdings sections on BlackRock product pages.</t>
  </si>
  <si>
    <t>https://www.blackrock.com/uk/individual/products/228473/blackrock-emerging-markets-bond-a2-usd-fund</t>
  </si>
  <si>
    <t>SovereignEvents</t>
  </si>
  <si>
    <t>Event dates and IMF program names sourced from official IMF press releases; default rows should be verified against official country or IMF documents before production use.</t>
  </si>
  <si>
    <t>https://www.imf.org/en/news/articles/2023/03/20/pr2379-imf-executive-board-approves-under-the-new-eff-arrangement-for-sri-lanka</t>
  </si>
  <si>
    <t>Coverage note</t>
  </si>
  <si>
    <t>This revised workbook fully restructures the file to your requested tabs and populates the BlackRock fund and holdings tabs from public official pages. CountryTimeSeries, BIS flows, and crisis-window panels are left schema-ready because bulk downloading and normalizing multi-country IMF/BIS/World Bank time-series is not possible in-session without pulling the source files directly.</t>
  </si>
  <si>
    <t>Public-source-only constraint respected</t>
  </si>
  <si>
    <t>Fast lane</t>
  </si>
  <si>
    <t>CountryTimeSeries uses annual public World Bank indicator downloads for FX reserves, external debt, debt/GDP, current account, and official exchange rate. CrossBorderFlows_BIS uses a verified public starter panel from Central Bank of Ireland consolidated banking statistics releases, which explicitly note BIS-like methodology.</t>
  </si>
  <si>
    <t>https://data.worldbank.org/indicator/FI.RES.TOTL.CD ; https://data.worldbank.org/indicator/DT.DOD.DECT.CD ; https://data.worldbank.org/indicator/GC.DOD.TOTL.GD.ZS ; https://data.worldbank.org/indicator/BN.CAB.XOKA.CD ; https://data.worldbank.org/indicator/PA.NUS.FCRF ; https://www.centralbank.ie/statistics/data-and-analysis/credit-and-banking-statistics/locational-and-consolidated-banking-statistics</t>
  </si>
  <si>
    <t>Slow lane</t>
  </si>
  <si>
    <t>Slow-lane structural context is preserved via SovereignEvents and the incorporated legacy snapshot sheet from the prior workbook, including qualitative major-creditor fields and country risk notes.</t>
  </si>
  <si>
    <t>legacy workbook copied from prior version</t>
  </si>
  <si>
    <t>CrossBorderFlows_BIS caveat</t>
  </si>
  <si>
    <t>The in-session, publicly verifiable cross-border panel uses Irish consolidated-banking-statistics releases with BIS-like methodology and public quarterly country tables. Coverage is a starter panel (Ireland as reporting banking center; UK/US/France/Spain/Netherlands counterparties) rather than a full EM/MENA BIS extraction.</t>
  </si>
  <si>
    <t>https://www.centralbank.ie/docs/default-source/statistics/data-and-analysis/credit-and-banking-statistics/consolidated-banking-statistics/2016q4_ie_conbs_foreign_claims---august-release.pdf ; https://www.centralbank.ie/docs/default-source/statistics/data-and-analysis/credit-and-banking-statistics/consolidated-banking-statistics/march-2017-consolidated-banking-statistics-foreign-claims.pdf ; https://www.centralbank.ie/docs/default-source/statistics/data-and-analysis/credit-and-banking-statistics/consolidated-banking-statistics/june-2017-consolidated-banking-statistics-foreign-claims.pdf ; https://www.centralbank.ie/docs/default-source/statistics/data-and-analysis/credit-and-banking-statistics/consolidated-banking-statistics/2017q3_ie_conbs_foreign_claims25b4ce134644629bacc1ff0000269695.pdf ; https://www.centralbank.ie/docs/default-source/statistics/data-and-analysis/credit-and-banking-statistics/consolidated-banking-statistics/2017q4_ie_conbs_foreign_claims3af8ce134644629bacc1ff0000269695.pdf ; https://www.centralbank.ie/docs/default-source/statistics/data-and-analysis/credit-and-banking-statistics/consolidated-banking-statistics/2018q1_ie_conbs_foreign_claims.pdf ; https://www.centralbank.ie/docs/default-source/statistics/data-and-analysis/credit-and-banking-statistics/consolidated-banking-statistics/june-2018-consolidated-banking-statistics-foreign-claims.pdf ; https://www.centralbank.ie/docs/default-source/statistics/data-and-analysis/credit-and-banking-statistics/consolidated-banking-statistics/september-2018-consolidated-banking-statistics-foreign-claims.pdf ; https://www.centralbank.ie/docs/default-source/statistics/data-and-analysis/credit-and-banking-statistics/consolidated-banking-statistics/2018q4_ie_conbs_foreign_claims.pdf ; https://www.centralbank.ie/docs/default-source/statistics/data-and-analysis/credit-and-banking-statistics/consolidated-banking-statistics/march-2019-consolidated-banking-statistics-foreign-claims.pdf</t>
  </si>
  <si>
    <t>Policy rate caveat</t>
  </si>
  <si>
    <t>Policy-rate fields are intentionally left blank where an official public bulk series was not ingested in-session. This avoids fabricating or proxy-filling policy rates with non-policy lending/deposit rates.</t>
  </si>
  <si>
    <t>BIS central bank policy rates topic exists publicly, but bulk zip ingestion was not completed in-session</t>
  </si>
  <si>
    <t>CountryTimeSeries.ytd_currency_change_percent</t>
  </si>
  <si>
    <t>This workbook calculates an annual exchange-rate change proxy from the official exchange-rate series because the downloaded public World Bank series are annual.</t>
  </si>
  <si>
    <t>PA.NUS.FCRF</t>
  </si>
  <si>
    <t>Category 4: Sovereign Debt &amp; FX Reserves — Public/Open Source Dataset</t>
  </si>
  <si>
    <t>Compiled only from public/free sources referenced in the project brief (World Bank / IMF / official central banks / public market pages). Core schema fields match the screenshot exactly; additional metadata/source columns are included for auditability.</t>
  </si>
  <si>
    <t>current_account_balance</t>
  </si>
  <si>
    <t>ytd_currency_change</t>
  </si>
  <si>
    <t>imf_program</t>
  </si>
  <si>
    <t>major_creditors</t>
  </si>
  <si>
    <t>fx_reserves_as_of</t>
  </si>
  <si>
    <t>external_debt_as_of</t>
  </si>
  <si>
    <t>debt_to_gdp_as_of</t>
  </si>
  <si>
    <t>current_account_as_of</t>
  </si>
  <si>
    <t>currency_change_as_of</t>
  </si>
  <si>
    <t>source_fx_reserves</t>
  </si>
  <si>
    <t>source_external_debt</t>
  </si>
  <si>
    <t>source_debt_to_gdp</t>
  </si>
  <si>
    <t>source_current_account</t>
  </si>
  <si>
    <t>source_currency_change</t>
  </si>
  <si>
    <t>source_imf_program</t>
  </si>
  <si>
    <t>source_major_creditors</t>
  </si>
  <si>
    <t>notes</t>
  </si>
  <si>
    <t>Turkish Lira (TRY)</t>
  </si>
  <si>
    <t>No (not listed on IMF credit outstanding page)</t>
  </si>
  <si>
    <t>European banks (BBVA, BNP Paribas, UniCredit); Eurobond holders</t>
  </si>
  <si>
    <t>2026-01-30</t>
  </si>
  <si>
    <t>2023</t>
  </si>
  <si>
    <t>2025 est.</t>
  </si>
  <si>
    <t>2026-03-12</t>
  </si>
  <si>
    <t>https://en.wikipedia.org/wiki/List_of_countries_by_foreign_exchange_reserves</t>
  </si>
  <si>
    <t>https://en.wikipedia.org/wiki/List_of_countries_by_external_debt</t>
  </si>
  <si>
    <t>https://en.wikipedia.org/wiki/List_of_countries_by_government_debt</t>
  </si>
  <si>
    <t>https://en.wikipedia.org/wiki/List_of_countries_by_current_account_balance</t>
  </si>
  <si>
    <t>https://www.bloomberg.com/quote/USDTRY:CUR</t>
  </si>
  <si>
    <t>https://www.imf.org/external/np/fin/tad/balmov2.aspx?type=TOTAL</t>
  </si>
  <si>
    <t>https://datatopics.worldbank.org/debt/ids/country/TUR</t>
  </si>
  <si>
    <t>Reserves/current account/debt are mixed-frequency public snapshots compiled from public tables; major_creditors is a qualitative synthesis from public creditor/exposure sources.</t>
  </si>
  <si>
    <t>Egyptian Pound (EGP)</t>
  </si>
  <si>
    <t>Yes (IMF credit outstanding)</t>
  </si>
  <si>
    <t>Gulf states (Saudi Arabia, UAE, Qatar); IMF; multilateral lenders</t>
  </si>
  <si>
    <t>2024-03-01</t>
  </si>
  <si>
    <t>2022</t>
  </si>
  <si>
    <t>https://www.bloomberg.com/quote/USDEGP:CUR</t>
  </si>
  <si>
    <t>https://datatopics.worldbank.org/debt/ids/country/EGY</t>
  </si>
  <si>
    <t>Uses public/open tables and official IMF data only.</t>
  </si>
  <si>
    <t>Jordanian Dinar (JOD)</t>
  </si>
  <si>
    <t>IMF; World Bank; GCC bilateral support</t>
  </si>
  <si>
    <t>https://www.bloomberg.com/quote/USDJOD:CUR</t>
  </si>
  <si>
    <t>https://datatopics.worldbank.org/debt/ids/country/JOR</t>
  </si>
  <si>
    <t>JOD is effectively pegged; YTD change is near zero.</t>
  </si>
  <si>
    <t>Lebanese Pound (LBP)</t>
  </si>
  <si>
    <t>Domestic banks; Eurobond holders; official bilateral/multilateral partners</t>
  </si>
  <si>
    <t>2024</t>
  </si>
  <si>
    <t>https://tradingeconomics.com/lebanon/government-debt-to-gdp</t>
  </si>
  <si>
    <t>https://www.bloomberg.com/quote/USDLBP:CUR</t>
  </si>
  <si>
    <t>https://datatopics.worldbank.org/debt/ids/country/LBN</t>
  </si>
  <si>
    <t>Debt-to-GDP sourced from a public macro page because current WB series snippet is not available.</t>
  </si>
  <si>
    <t>Argentine Peso (ARS)</t>
  </si>
  <si>
    <t>IMF; private bondholders; Paris Club; China (swap line)</t>
  </si>
  <si>
    <t>https://www.bloomberg.com/quote/USDARS:CUR</t>
  </si>
  <si>
    <t>https://datatopics.worldbank.org/debt/ids/country/ARG</t>
  </si>
  <si>
    <t>ARS YTD value reflects local-currency change vs USD sign-converted from USDARS market quote.</t>
  </si>
  <si>
    <t>Pakistani Rupee (PKR)</t>
  </si>
  <si>
    <t>China; IMF; Paris Club; multilateral lenders</t>
  </si>
  <si>
    <t>2025-10-17</t>
  </si>
  <si>
    <t>https://www.bloomberg.com/quote/USDPKR:CUR</t>
  </si>
  <si>
    <t>https://datatopics.worldbank.org/debt/ids/country/PAK</t>
  </si>
  <si>
    <t>PKR YTD value is small and sign-converted from USDPKR market quote.</t>
  </si>
  <si>
    <t>Sri Lankan Rupee (LKR)</t>
  </si>
  <si>
    <t>China; India; Japan; international sovereign bondholders</t>
  </si>
  <si>
    <t>2024-10-31</t>
  </si>
  <si>
    <t>https://www.bloomberg.com/quote/USDLKR:CUR</t>
  </si>
  <si>
    <t>https://datatopics.worldbank.org/debt/ids/country/LKA</t>
  </si>
  <si>
    <t>2025 estimate from public government-debt table.</t>
  </si>
  <si>
    <t>Tunisian Dinar (TND)</t>
  </si>
  <si>
    <t>Domestic banks; multilateral lenders; bilateral partners</t>
  </si>
  <si>
    <t>2024-03-21</t>
  </si>
  <si>
    <t>https://www.bloomberg.com/quote/USDTND:CUR</t>
  </si>
  <si>
    <t>https://datatopics.worldbank.org/debt/ids/country/TUN</t>
  </si>
  <si>
    <t>Country continues to depend on external official financing.</t>
  </si>
  <si>
    <t>Moroccan Dirham (MAD)</t>
  </si>
  <si>
    <t>Multilateral lenders (World Bank, AfDB); international bondholders; bilateral partners</t>
  </si>
  <si>
    <t>https://tradingeconomics.com/morocco/government-debt-to-gdp</t>
  </si>
  <si>
    <t>https://www.bloomberg.com/quote/USDMAD:CUR</t>
  </si>
  <si>
    <t>https://datatopics.worldbank.org/debt/ids/country/MAR</t>
  </si>
  <si>
    <t>Public debt ratio from public macro page (source: Bank Al-Maghrib cited on page).</t>
  </si>
  <si>
    <t>Bangladeshi Taka (BDT)</t>
  </si>
  <si>
    <t>Japan; World Bank; ADB; China</t>
  </si>
  <si>
    <t>2025-10-23</t>
  </si>
  <si>
    <t>https://tradingeconomics.com/bangladesh/government-debt-to-gdp</t>
  </si>
  <si>
    <t>https://www.bloomberg.com/quote/USDBDT:CUR</t>
  </si>
  <si>
    <t>https://datatopics.worldbank.org/debt/ids/country/BGD</t>
  </si>
  <si>
    <t>Debt ratio from public macro page (source: Bangladesh Bank cited on page).</t>
  </si>
  <si>
    <t>Kenyan Shilling (KES)</t>
  </si>
  <si>
    <t>China; World Bank; Eurobond holders; syndicated/commercial lenders</t>
  </si>
  <si>
    <t>2024-03-07</t>
  </si>
  <si>
    <t>2025-03</t>
  </si>
  <si>
    <t>https://www.centralbank.go.ke/uploads/weekly_bulletin/983464583_Weekly%20CBK%20Bulletin%20March%208%202024.pdf</t>
  </si>
  <si>
    <t>https://www.reuters.com/world/africa/kenya-targets-key-debt-ratio-528-by-202728-finance-minister-says-2025-03-26/</t>
  </si>
  <si>
    <t>https://www.bloomberg.com/quote/USDKES:CUR</t>
  </si>
  <si>
    <t>https://datatopics.worldbank.org/debt/ids/country/KEN</t>
  </si>
  <si>
    <t>FX reserve value from official CBK weekly bulletin; debt ratio from Reuters public report.</t>
  </si>
  <si>
    <t>Ghanaian Cedi (GHS)</t>
  </si>
  <si>
    <t>Eurobond holders; China; multilateral lenders (IMF, World Bank)</t>
  </si>
  <si>
    <t>https://www.bloomberg.com/quote/USDGHS:CUR</t>
  </si>
  <si>
    <t>https://datatopics.worldbank.org/debt/ids/country/GHA</t>
  </si>
  <si>
    <t>Debt stress case with public restructuring process.</t>
  </si>
  <si>
    <t>Zambian Kwacha (ZMW)</t>
  </si>
  <si>
    <t>China; Eurobond holders; World Bank/AfDB</t>
  </si>
  <si>
    <t>https://www.bloomberg.com/quote/USDZMW:CUR</t>
  </si>
  <si>
    <t>https://datatopics.worldbank.org/debt/ids/country/ZMB</t>
  </si>
  <si>
    <t>Kwacha YTD sign-converted from USDZMW.</t>
  </si>
  <si>
    <t>Ukrainian Hryvnia (UAH)</t>
  </si>
  <si>
    <t>IMF; EU; World Bank; G7 bilateral lenders</t>
  </si>
  <si>
    <t>https://www.bloomberg.com/quote/USDUAH:CUR</t>
  </si>
  <si>
    <t>https://datatopics.worldbank.org/debt/ids/country/UKR</t>
  </si>
  <si>
    <t>War-affected sovereign; values are from public snapshots, not a synchronized panel.</t>
  </si>
  <si>
    <t>Nigerian Naira (NGN)</t>
  </si>
  <si>
    <t>World Bank; AfDB; Eurobond holders; China</t>
  </si>
  <si>
    <t>https://www.bloomberg.com/quote/USDNGN:CUR</t>
  </si>
  <si>
    <t>https://datatopics.worldbank.org/debt/ids/country/NGA</t>
  </si>
  <si>
    <t>NGN YTD sign-converted from USDNGN.</t>
  </si>
  <si>
    <t>Methodology / Compliance</t>
  </si>
  <si>
    <t>How this workbook was built</t>
  </si>
  <si>
    <t>•</t>
  </si>
  <si>
    <t>Scope: Category 4 only (Sovereign Debt &amp; FX Reserves), based on the screenshot schema and the follow-up requirements screenshots.</t>
  </si>
  <si>
    <t>Public-only rule: values were compiled only from free/public pages (World Bank / IMF / official central banks / public macro or market pages). No private APIs or paywalled datasets were used.</t>
  </si>
  <si>
    <t>Static-tabular preference: where possible, values were taken from public tables or PDF bulletins rather than APIs, matching the project brief.</t>
  </si>
  <si>
    <t>Schema: the first 9 columns on the main sheet match the screenshot exactly: country, fx_reserves_usd, external_debt_usd, debt_to_gdp, current_account_balance, currency, ytd_currency_change, imf_program, major_creditors.</t>
  </si>
  <si>
    <t>Units: fx_reserves_usd, external_debt_usd, and current_account_balance are stored as actual USD amounts, not 'billions' text labels. Many public source tables list these in USD millions; those values were converted to USD.</t>
  </si>
  <si>
    <t>Percentages: debt_to_gdp and ytd_currency_change are stored as Excel percentages.</t>
  </si>
  <si>
    <t>YTD FX convention: market pages often quote USD/local-currency pairs. To fit the requested field 'ytd_currency_change', the sign was converted to reflect local currency performance vs USD (e.g., if USDTRY is +2.7% YTD, TRY vs USD is recorded as -2.7%).</t>
  </si>
  <si>
    <t>IMF program convention: the field is proxied using the IMF 'Total IMF Credit Outstanding' public page. If a country appears there, the workbook marks 'Yes (IMF credit outstanding)'. This is a conservative operational proxy and not a legal classification of every IMF arrangement type.</t>
  </si>
  <si>
    <t>major_creditors is qualitative: it is a concise synthesis of public creditor composition / restructuring coverage. Treat it as a network-mapping field for MVP work, not as a legally exhaustive creditor register.</t>
  </si>
  <si>
    <t>Mixed dates: this is an MVP-ready public dataset, not a perfectly synchronized time-series panel. Use the *_as_of columns and source URLs before production analysis.</t>
  </si>
  <si>
    <t>Recommended next step: replace Wikipedia-aggregated public tables with direct official CSV/XLS exports from World Bank / IMF / central banks once you move from MVP sourcing to production ETL.</t>
  </si>
  <si>
    <t>Field definitions (matching screenshot)</t>
  </si>
  <si>
    <t>Name of the country</t>
  </si>
  <si>
    <t>Foreign exchange reserves in USD</t>
  </si>
  <si>
    <t>Total external debt in USD</t>
  </si>
  <si>
    <t>Debt as percentage of GDP</t>
  </si>
  <si>
    <t>Trade/current account surplus or deficit in USD</t>
  </si>
  <si>
    <t>Local currency name</t>
  </si>
  <si>
    <t>Year-to-date local-currency move vs USD</t>
  </si>
  <si>
    <t>Whether the country currently shows IMF credit outstanding</t>
  </si>
  <si>
    <t>Main public-sector / market lenders with sovereign exposure</t>
  </si>
  <si>
    <t>Public source catalog</t>
  </si>
  <si>
    <t>source_type</t>
  </si>
  <si>
    <t>url</t>
  </si>
  <si>
    <t>what_it_was_used_for</t>
  </si>
  <si>
    <t>public/open note</t>
  </si>
  <si>
    <t>World Bank / IMF-linked public table</t>
  </si>
  <si>
    <t>FX reserves snapshots for most rows</t>
  </si>
  <si>
    <t>Public webpage aggregating official reserve series.</t>
  </si>
  <si>
    <t>World Bank / official debt table</t>
  </si>
  <si>
    <t>External debt totals</t>
  </si>
  <si>
    <t>Public webpage aggregating official debt statistics.</t>
  </si>
  <si>
    <t>Debt-to-GDP for many rows</t>
  </si>
  <si>
    <t>Public webpage used when a current WB country snippet was available only indirectly.</t>
  </si>
  <si>
    <t>World Bank public table</t>
  </si>
  <si>
    <t>Current-account balances</t>
  </si>
  <si>
    <t>Public webpage citing World Bank data tables.</t>
  </si>
  <si>
    <t>IMF official page</t>
  </si>
  <si>
    <t>IMF credit outstanding proxy for 'imf_program'</t>
  </si>
  <si>
    <t>Official IMF member financial data page.</t>
  </si>
  <si>
    <t>Official central bank bulletin</t>
  </si>
  <si>
    <t>Kenya FX reserves</t>
  </si>
  <si>
    <t>Official CBK PDF bulletin.</t>
  </si>
  <si>
    <t>Public macro page</t>
  </si>
  <si>
    <t>Lebanon debt-to-GDP</t>
  </si>
  <si>
    <t>Public/free page quoting IMF or national sources.</t>
  </si>
  <si>
    <t>Morocco debt-to-GDP</t>
  </si>
  <si>
    <t>Public/free page quoting Bank Al-Maghrib.</t>
  </si>
  <si>
    <t>Bangladesh debt-to-GDP</t>
  </si>
  <si>
    <t>Public/free page quoting Bangladesh Bank.</t>
  </si>
  <si>
    <t>Public news page</t>
  </si>
  <si>
    <t>Kenya debt-to-GDP</t>
  </si>
  <si>
    <t>Public Reuters report.</t>
  </si>
  <si>
    <t>Public market page</t>
  </si>
  <si>
    <t>https://www.bloomberg.com/markets/currencies</t>
  </si>
  <si>
    <t>FX pair YTD checks</t>
  </si>
  <si>
    <t>Public market snapshot pages were used for YTD directional changes.</t>
  </si>
  <si>
    <t>Quick summary</t>
  </si>
  <si>
    <t>Rows / countries</t>
  </si>
  <si>
    <t>Important caveat</t>
  </si>
  <si>
    <t>Countries with IMF credit outstanding</t>
  </si>
  <si>
    <t>This workbook is designed for MVP sourcing. Source dates differ by indicator and country. Refresh from official World Bank / IMF / central-bank exports before doing production-quality analytics.</t>
  </si>
  <si>
    <t>Median debt_to_gdp</t>
  </si>
  <si>
    <t>Median FX reserves ($)</t>
  </si>
  <si>
    <t>Median external debt ($)</t>
  </si>
  <si>
    <t>Median current-account balance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</si>
</sst>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"/>
    <numFmt numFmtId="165" formatCode="yyyy\-mm\-dd"/>
    <numFmt numFmtId="166" formatCode="\$#,##0_);[Red]\(\$#,##0\)"/>
    <numFmt numFmtId="167" formatCode="0.0%"/>
    <numFmt numFmtId="168" formatCode="0.0000"/>
    <numFmt numFmtId="169" formatCode="\$#,##0;[Red]\(\$#,##0\);\-"/>
    <numFmt numFmtId="170" formatCode="0.0%;[Red]\(0.0%\);\-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i/>
      <sz val="10"/>
      <color rgb="FF203864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0"/>
      <color rgb="FF008000"/>
      <name val="Calibri"/>
      <family val="2"/>
    </font>
    <font>
      <sz val="10"/>
      <color rgb="FF666666"/>
      <name val="Calibri"/>
      <family val="2"/>
    </font>
    <font>
      <u/>
      <sz val="9"/>
      <color rgb="FF008000"/>
      <name val="Calibri"/>
      <family val="2"/>
    </font>
    <font>
      <b/>
      <sz val="12"/>
      <color rgb="FF203864"/>
      <name val="Calibri"/>
      <family val="2"/>
    </font>
    <font>
      <b/>
      <sz val="10"/>
      <name val="Calibri"/>
      <family val="2"/>
    </font>
    <font>
      <u/>
      <sz val="10"/>
      <color rgb="FF008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97D"/>
      </patternFill>
    </fill>
    <fill>
      <patternFill patternType="solid">
        <fgColor rgb="FF203864"/>
      </patternFill>
    </fill>
    <fill>
      <patternFill patternType="solid">
        <fgColor rgb="FF2F5597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C8C8C8"/>
      </bottom>
      <diagonal/>
    </border>
    <border>
      <left/>
      <right/>
      <top/>
      <bottom style="medium">
        <color rgb="FF2038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3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0" fillId="6" borderId="0" xfId="0" applyFill="1"/>
    <xf numFmtId="0" fontId="2" fillId="4" borderId="0" xfId="0" applyFont="1" applyFill="1" applyAlignment="1">
      <alignment horizontal="left" vertical="center"/>
    </xf>
    <xf numFmtId="0" fontId="3" fillId="0" borderId="0" xfId="0" applyFont="1" applyAlignment="1">
      <alignment wrapText="1"/>
    </xf>
    <xf numFmtId="0" fontId="4" fillId="5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9" fontId="6" fillId="0" borderId="0" xfId="0" applyNumberFormat="1" applyFont="1" applyAlignment="1">
      <alignment horizontal="right" vertical="top"/>
    </xf>
    <xf numFmtId="170" fontId="6" fillId="0" borderId="0" xfId="0" applyNumberFormat="1" applyFont="1" applyAlignment="1">
      <alignment horizontal="right" vertical="top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2" fillId="4" borderId="0" xfId="0" applyFont="1" applyFill="1"/>
    <xf numFmtId="0" fontId="9" fillId="0" borderId="0" xfId="0" applyFont="1"/>
    <xf numFmtId="0" fontId="10" fillId="0" borderId="0" xfId="0" applyFont="1"/>
    <xf numFmtId="0" fontId="4" fillId="5" borderId="0" xfId="0" applyFont="1" applyFill="1" applyAlignment="1">
      <alignment horizontal="center" wrapText="1"/>
    </xf>
    <xf numFmtId="0" fontId="11" fillId="0" borderId="0" xfId="0" applyFont="1" applyAlignment="1">
      <alignment vertical="top" wrapText="1"/>
    </xf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1270000</xdr:colOff>
      <xdr:row>66</xdr:row>
      <xdr:rowOff>127000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72FBCF1A-3F5C-53F3-E9BD-1D3E3951573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381000</xdr:colOff>
      <xdr:row>66</xdr:row>
      <xdr:rowOff>127000</xdr:rowOff>
    </xdr:to>
    <xdr:sp macro="" textlink="">
      <xdr:nvSpPr>
        <xdr:cNvPr id="2052" name="Text Box 4" hidden="1">
          <a:extLst>
            <a:ext uri="{FF2B5EF4-FFF2-40B4-BE49-F238E27FC236}">
              <a16:creationId xmlns:a16="http://schemas.microsoft.com/office/drawing/2014/main" id="{E2E2EFE2-F5CF-34D4-7B7E-7E182F04693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279400</xdr:colOff>
      <xdr:row>66</xdr:row>
      <xdr:rowOff>127000</xdr:rowOff>
    </xdr:to>
    <xdr:sp macro="" textlink="">
      <xdr:nvSpPr>
        <xdr:cNvPr id="3093" name="Text Box 21" hidden="1">
          <a:extLst>
            <a:ext uri="{FF2B5EF4-FFF2-40B4-BE49-F238E27FC236}">
              <a16:creationId xmlns:a16="http://schemas.microsoft.com/office/drawing/2014/main" id="{4570EB4B-E4AC-4DA9-F3D2-3EE3A103D79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355600</xdr:colOff>
      <xdr:row>66</xdr:row>
      <xdr:rowOff>127000</xdr:rowOff>
    </xdr:to>
    <xdr:sp macro="" textlink="">
      <xdr:nvSpPr>
        <xdr:cNvPr id="4117" name="Text Box 21" hidden="1">
          <a:extLst>
            <a:ext uri="{FF2B5EF4-FFF2-40B4-BE49-F238E27FC236}">
              <a16:creationId xmlns:a16="http://schemas.microsoft.com/office/drawing/2014/main" id="{BEDA8631-C7E8-9A75-98DA-1D88BDF3D93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965200</xdr:colOff>
      <xdr:row>66</xdr:row>
      <xdr:rowOff>127000</xdr:rowOff>
    </xdr:to>
    <xdr:sp macro="" textlink="">
      <xdr:nvSpPr>
        <xdr:cNvPr id="5126" name="Text Box 6" hidden="1">
          <a:extLst>
            <a:ext uri="{FF2B5EF4-FFF2-40B4-BE49-F238E27FC236}">
              <a16:creationId xmlns:a16="http://schemas.microsoft.com/office/drawing/2014/main" id="{F1C65E50-D582-A80B-460A-7B3FF451732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50800</xdr:colOff>
      <xdr:row>66</xdr:row>
      <xdr:rowOff>127000</xdr:rowOff>
    </xdr:to>
    <xdr:sp macro="" textlink="">
      <xdr:nvSpPr>
        <xdr:cNvPr id="6146" name="Text Box 2" hidden="1">
          <a:extLst>
            <a:ext uri="{FF2B5EF4-FFF2-40B4-BE49-F238E27FC236}">
              <a16:creationId xmlns:a16="http://schemas.microsoft.com/office/drawing/2014/main" id="{0B9E6ABC-9179-B2DF-08FD-058CD9CB7C1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untryTimeSeriesTbl" displayName="CountryTimeSeriesTbl" ref="A1:L2">
  <autoFilter ref="A1:L2" xr:uid="{00000000-0009-0000-0100-000001000000}"/>
  <tableColumns count="12">
    <tableColumn id="1" xr3:uid="{00000000-0010-0000-0000-000001000000}" name="company"/>
    <tableColumn id="2" xr3:uid="{00000000-0010-0000-0000-000002000000}" name="country"/>
    <tableColumn id="3" xr3:uid="{00000000-0010-0000-0000-000003000000}" name="date"/>
    <tableColumn id="4" xr3:uid="{00000000-0010-0000-0000-000004000000}" name="fx_reserves_usd"/>
    <tableColumn id="5" xr3:uid="{00000000-0010-0000-0000-000005000000}" name="external_debt_usd"/>
    <tableColumn id="6" xr3:uid="{00000000-0010-0000-0000-000006000000}" name="debt_to_gdp"/>
    <tableColumn id="7" xr3:uid="{00000000-0010-0000-0000-000007000000}" name="current_account_balance_usd"/>
    <tableColumn id="8" xr3:uid="{00000000-0010-0000-0000-000008000000}" name="exchange_rate_to_usd"/>
    <tableColumn id="9" xr3:uid="{00000000-0010-0000-0000-000009000000}" name="ytd_currency_change_percent"/>
    <tableColumn id="10" xr3:uid="{00000000-0010-0000-0000-00000A000000}" name="policy_rate_percent"/>
    <tableColumn id="11" xr3:uid="{00000000-0010-0000-0000-00000B000000}" name="imf_program_flag"/>
    <tableColumn id="12" xr3:uid="{00000000-0010-0000-0000-00000C000000}" name="imf_program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rossBorderFlowsBISTbl" displayName="CrossBorderFlowsBISTbl" ref="A1:H2">
  <autoFilter ref="A1:H2" xr:uid="{00000000-0009-0000-0100-000002000000}"/>
  <tableColumns count="8">
    <tableColumn id="1" xr3:uid="{00000000-0010-0000-0100-000001000000}" name="company"/>
    <tableColumn id="2" xr3:uid="{00000000-0010-0000-0100-000002000000}" name="reporting_country"/>
    <tableColumn id="3" xr3:uid="{00000000-0010-0000-0100-000003000000}" name="counterparty_country"/>
    <tableColumn id="4" xr3:uid="{00000000-0010-0000-0100-000004000000}" name="date"/>
    <tableColumn id="5" xr3:uid="{00000000-0010-0000-0100-000005000000}" name="cross_border_bank_claims_usd"/>
    <tableColumn id="6" xr3:uid="{00000000-0010-0000-0100-000006000000}" name="claims_change_qoq_percent"/>
    <tableColumn id="7" xr3:uid="{00000000-0010-0000-0100-000007000000}" name="claims_change_yoy_percent"/>
    <tableColumn id="8" xr3:uid="{00000000-0010-0000-0100-000008000000}" name="instrument_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lackRockFundsEMDTbl" displayName="BlackRockFundsEMDTbl" ref="A1:M21">
  <autoFilter ref="A1:M21" xr:uid="{00000000-0009-0000-0100-000003000000}"/>
  <tableColumns count="13">
    <tableColumn id="1" xr3:uid="{00000000-0010-0000-0200-000001000000}" name="company"/>
    <tableColumn id="2" xr3:uid="{00000000-0010-0000-0200-000002000000}" name="fund_name"/>
    <tableColumn id="3" xr3:uid="{00000000-0010-0000-0200-000003000000}" name="ticker"/>
    <tableColumn id="4" xr3:uid="{00000000-0010-0000-0200-000004000000}" name="vehicle_type"/>
    <tableColumn id="5" xr3:uid="{00000000-0010-0000-0200-000005000000}" name="domicile"/>
    <tableColumn id="6" xr3:uid="{00000000-0010-0000-0200-000006000000}" name="aum_usd"/>
    <tableColumn id="7" xr3:uid="{00000000-0010-0000-0200-000007000000}" name="benchmark"/>
    <tableColumn id="8" xr3:uid="{00000000-0010-0000-0200-000008000000}" name="management_fee_bps"/>
    <tableColumn id="9" xr3:uid="{00000000-0010-0000-0200-000009000000}" name="oer_bps"/>
    <tableColumn id="10" xr3:uid="{00000000-0010-0000-0200-00000A000000}" name="duration_years"/>
    <tableColumn id="11" xr3:uid="{00000000-0010-0000-0200-00000B000000}" name="ytm_percent"/>
    <tableColumn id="12" xr3:uid="{00000000-0010-0000-0200-00000C000000}" name="em_sovereign_weight_percent"/>
    <tableColumn id="13" xr3:uid="{00000000-0010-0000-0200-00000D000000}" name="hedging_poli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undHoldingsSnapshotTbl" displayName="FundHoldingsSnapshotTbl" ref="A1:J21">
  <autoFilter ref="A1:J21" xr:uid="{00000000-0009-0000-0100-000004000000}"/>
  <tableColumns count="10">
    <tableColumn id="1" xr3:uid="{00000000-0010-0000-0300-000001000000}" name="company"/>
    <tableColumn id="2" xr3:uid="{00000000-0010-0000-0300-000002000000}" name="fund_name"/>
    <tableColumn id="3" xr3:uid="{00000000-0010-0000-0300-000003000000}" name="country"/>
    <tableColumn id="4" xr3:uid="{00000000-0010-0000-0300-000004000000}" name="issuer_name"/>
    <tableColumn id="5" xr3:uid="{00000000-0010-0000-0300-000005000000}" name="region"/>
    <tableColumn id="6" xr3:uid="{00000000-0010-0000-0300-000006000000}" name="security_type"/>
    <tableColumn id="7" xr3:uid="{00000000-0010-0000-0300-000007000000}" name="currency"/>
    <tableColumn id="8" xr3:uid="{00000000-0010-0000-0300-000008000000}" name="weight_percent"/>
    <tableColumn id="9" xr3:uid="{00000000-0010-0000-0300-000009000000}" name="maturity_date"/>
    <tableColumn id="10" xr3:uid="{00000000-0010-0000-0300-00000A000000}" name="coupon_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vereignEventsTbl" displayName="SovereignEventsTbl" ref="A1:I6">
  <autoFilter ref="A1:I6" xr:uid="{00000000-0009-0000-0100-000005000000}"/>
  <tableColumns count="9">
    <tableColumn id="1" xr3:uid="{00000000-0010-0000-0400-000001000000}" name="country"/>
    <tableColumn id="2" xr3:uid="{00000000-0010-0000-0400-000002000000}" name="event_start_date"/>
    <tableColumn id="3" xr3:uid="{00000000-0010-0000-0400-000003000000}" name="event_end_date"/>
    <tableColumn id="4" xr3:uid="{00000000-0010-0000-0400-000004000000}" name="event_type"/>
    <tableColumn id="5" xr3:uid="{00000000-0010-0000-0400-000005000000}" name="description_short"/>
    <tableColumn id="6" xr3:uid="{00000000-0010-0000-0400-000006000000}" name="haircut_percent"/>
    <tableColumn id="7" xr3:uid="{00000000-0010-0000-0400-000007000000}" name="imf_program_flag"/>
    <tableColumn id="8" xr3:uid="{00000000-0010-0000-0400-000008000000}" name="imf_program_name"/>
    <tableColumn id="9" xr3:uid="{00000000-0010-0000-0400-000009000000}" name="category3_releva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risisWindowsPanelTbl" displayName="CrisisWindowsPanelTbl" ref="A1:M2">
  <autoFilter ref="A1:M2" xr:uid="{00000000-0009-0000-0100-000006000000}"/>
  <tableColumns count="13">
    <tableColumn id="1" xr3:uid="{00000000-0010-0000-0500-000001000000}" name="company"/>
    <tableColumn id="2" xr3:uid="{00000000-0010-0000-0500-000002000000}" name="country"/>
    <tableColumn id="3" xr3:uid="{00000000-0010-0000-0500-000003000000}" name="event_id"/>
    <tableColumn id="4" xr3:uid="{00000000-0010-0000-0500-000004000000}" name="window_relative_month"/>
    <tableColumn id="5" xr3:uid="{00000000-0010-0000-0500-000005000000}" name="fx_reserves_usd"/>
    <tableColumn id="6" xr3:uid="{00000000-0010-0000-0500-000006000000}" name="external_debt_usd"/>
    <tableColumn id="7" xr3:uid="{00000000-0010-0000-0500-000007000000}" name="debt_to_gdp"/>
    <tableColumn id="8" xr3:uid="{00000000-0010-0000-0500-000008000000}" name="current_account_balance_usd"/>
    <tableColumn id="9" xr3:uid="{00000000-0010-0000-0500-000009000000}" name="exchange_rate_to_usd"/>
    <tableColumn id="10" xr3:uid="{00000000-0010-0000-0500-00000A000000}" name="ytd_currency_change_percent"/>
    <tableColumn id="11" xr3:uid="{00000000-0010-0000-0500-00000B000000}" name="net_portfolio_flows_usd"/>
    <tableColumn id="12" xr3:uid="{00000000-0010-0000-0500-00000C000000}" name="cross_border_bank_claims_usd"/>
    <tableColumn id="13" xr3:uid="{00000000-0010-0000-0500-00000D000000}" name="sovereign_spread_bps_or_cds_5y_bp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ocumentationTbl" displayName="DocumentationTbl" ref="A1:C13">
  <autoFilter ref="A1:C13" xr:uid="{00000000-0009-0000-0100-000007000000}"/>
  <tableColumns count="3">
    <tableColumn id="1" xr3:uid="{00000000-0010-0000-0600-000001000000}" name="field_name"/>
    <tableColumn id="2" xr3:uid="{00000000-0010-0000-0600-000002000000}" name="definition"/>
    <tableColumn id="3" xr3:uid="{00000000-0010-0000-0600-000003000000}" name="source_ex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showGridLines="0" workbookViewId="0"/>
  </sheetViews>
  <sheetFormatPr baseColWidth="10" defaultColWidth="8.83203125" defaultRowHeight="15" x14ac:dyDescent="0.2"/>
  <cols>
    <col min="1" max="1" width="14" customWidth="1"/>
    <col min="2" max="2" width="18" customWidth="1"/>
    <col min="3" max="3" width="12" customWidth="1"/>
    <col min="4" max="5" width="18" customWidth="1"/>
    <col min="6" max="6" width="12" customWidth="1"/>
    <col min="7" max="7" width="22" customWidth="1"/>
    <col min="8" max="10" width="18" customWidth="1"/>
    <col min="11" max="11" width="14" customWidth="1"/>
    <col min="12" max="12" width="28" customWidth="1"/>
  </cols>
  <sheetData>
    <row r="1" spans="1:12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2">
      <c r="A2" t="s">
        <v>12</v>
      </c>
      <c r="B2" t="s">
        <v>13</v>
      </c>
      <c r="C2" s="7">
        <v>40543</v>
      </c>
      <c r="D2" s="8">
        <v>52207549724.092796</v>
      </c>
      <c r="E2" s="8">
        <v>126641509908.2</v>
      </c>
      <c r="F2" s="9"/>
      <c r="G2" s="8">
        <v>-1622995871.25068</v>
      </c>
      <c r="H2" s="10">
        <v>3.8962951544704998</v>
      </c>
      <c r="I2" s="9"/>
      <c r="J2" s="4"/>
      <c r="K2" t="s">
        <v>14</v>
      </c>
    </row>
    <row r="3" spans="1:12" x14ac:dyDescent="0.2">
      <c r="A3" t="s">
        <v>12</v>
      </c>
      <c r="B3" t="s">
        <v>13</v>
      </c>
      <c r="C3" s="7">
        <v>40908</v>
      </c>
      <c r="D3" s="8">
        <v>46265800525.880699</v>
      </c>
      <c r="E3" s="8">
        <v>142883776038.29999</v>
      </c>
      <c r="F3" s="9"/>
      <c r="G3" s="8">
        <v>-5340181192.3951998</v>
      </c>
      <c r="H3" s="10">
        <v>4.1101395762132604</v>
      </c>
      <c r="I3" s="9">
        <f t="shared" ref="I3:I66" si="0">IF(B3=B2,IFERROR(H3/H2-1,""),"")</f>
        <v>5.4884040675768908E-2</v>
      </c>
      <c r="J3" s="4"/>
      <c r="K3" t="s">
        <v>14</v>
      </c>
    </row>
    <row r="4" spans="1:12" x14ac:dyDescent="0.2">
      <c r="A4" t="s">
        <v>12</v>
      </c>
      <c r="B4" t="s">
        <v>13</v>
      </c>
      <c r="C4" s="7">
        <v>41274</v>
      </c>
      <c r="D4" s="8">
        <v>43223270863.843002</v>
      </c>
      <c r="E4" s="8">
        <v>139876851066.60001</v>
      </c>
      <c r="F4" s="9"/>
      <c r="G4" s="8">
        <v>-2138040360.43296</v>
      </c>
      <c r="H4" s="10">
        <v>4.5369343601874599</v>
      </c>
      <c r="I4" s="9">
        <f t="shared" si="0"/>
        <v>0.1038394867279453</v>
      </c>
      <c r="J4" s="4"/>
      <c r="K4" t="s">
        <v>14</v>
      </c>
    </row>
    <row r="5" spans="1:12" x14ac:dyDescent="0.2">
      <c r="A5" t="s">
        <v>12</v>
      </c>
      <c r="B5" t="s">
        <v>13</v>
      </c>
      <c r="C5" s="7">
        <v>41639</v>
      </c>
      <c r="D5" s="8">
        <v>30533919650.6264</v>
      </c>
      <c r="E5" s="8">
        <v>150224280402.10001</v>
      </c>
      <c r="F5" s="9"/>
      <c r="G5" s="8">
        <v>-13124373785.863199</v>
      </c>
      <c r="H5" s="10">
        <v>5.4593526646570396</v>
      </c>
      <c r="I5" s="9">
        <f t="shared" si="0"/>
        <v>0.20331312539233348</v>
      </c>
      <c r="J5" s="4"/>
      <c r="K5" t="s">
        <v>14</v>
      </c>
    </row>
    <row r="6" spans="1:12" x14ac:dyDescent="0.2">
      <c r="A6" t="s">
        <v>12</v>
      </c>
      <c r="B6" t="s">
        <v>13</v>
      </c>
      <c r="C6" s="7">
        <v>42004</v>
      </c>
      <c r="D6" s="8">
        <v>31410813269.523899</v>
      </c>
      <c r="E6" s="8">
        <v>153793074987.60001</v>
      </c>
      <c r="F6" s="9"/>
      <c r="G6" s="8">
        <v>-9179026266.8755207</v>
      </c>
      <c r="H6" s="10">
        <v>8.0752759928133404</v>
      </c>
      <c r="I6" s="9">
        <f t="shared" si="0"/>
        <v>0.47916364610246975</v>
      </c>
      <c r="J6" s="4"/>
      <c r="K6" t="s">
        <v>14</v>
      </c>
    </row>
    <row r="7" spans="1:12" x14ac:dyDescent="0.2">
      <c r="A7" t="s">
        <v>12</v>
      </c>
      <c r="B7" t="s">
        <v>13</v>
      </c>
      <c r="C7" s="7">
        <v>42369</v>
      </c>
      <c r="D7" s="8">
        <v>25520565580.489399</v>
      </c>
      <c r="E7" s="8">
        <v>177183976465.60001</v>
      </c>
      <c r="F7" s="9"/>
      <c r="G7" s="8">
        <v>-17621985168.2099</v>
      </c>
      <c r="H7" s="10">
        <v>9.2331855247242896</v>
      </c>
      <c r="I7" s="9">
        <f t="shared" si="0"/>
        <v>0.14338946841463263</v>
      </c>
      <c r="J7" s="4"/>
      <c r="K7" t="s">
        <v>14</v>
      </c>
    </row>
    <row r="8" spans="1:12" x14ac:dyDescent="0.2">
      <c r="A8" t="s">
        <v>12</v>
      </c>
      <c r="B8" t="s">
        <v>13</v>
      </c>
      <c r="C8" s="7">
        <v>42735</v>
      </c>
      <c r="D8" s="8">
        <v>38414518491.613197</v>
      </c>
      <c r="E8" s="8">
        <v>181637286190.70001</v>
      </c>
      <c r="F8" s="9"/>
      <c r="G8" s="8">
        <v>-15104786524.560101</v>
      </c>
      <c r="H8" s="10">
        <v>14.7581750873396</v>
      </c>
      <c r="I8" s="9">
        <f t="shared" si="0"/>
        <v>0.59838389988164908</v>
      </c>
      <c r="J8" s="4"/>
      <c r="K8" t="s">
        <v>14</v>
      </c>
    </row>
    <row r="9" spans="1:12" x14ac:dyDescent="0.2">
      <c r="A9" t="s">
        <v>12</v>
      </c>
      <c r="B9" t="s">
        <v>13</v>
      </c>
      <c r="C9" s="7">
        <v>43100</v>
      </c>
      <c r="D9" s="8">
        <v>55314409205.218903</v>
      </c>
      <c r="E9" s="8">
        <v>225923967186.10001</v>
      </c>
      <c r="F9" s="9"/>
      <c r="G9" s="8">
        <v>-31151351750.762299</v>
      </c>
      <c r="H9" s="10">
        <v>16.5627069251411</v>
      </c>
      <c r="I9" s="9">
        <f t="shared" si="0"/>
        <v>0.12227337235953573</v>
      </c>
      <c r="J9" s="4"/>
      <c r="K9" t="s">
        <v>14</v>
      </c>
    </row>
    <row r="10" spans="1:12" x14ac:dyDescent="0.2">
      <c r="A10" t="s">
        <v>12</v>
      </c>
      <c r="B10" t="s">
        <v>13</v>
      </c>
      <c r="C10" s="7">
        <v>43465</v>
      </c>
      <c r="D10" s="8">
        <v>66221501691.441803</v>
      </c>
      <c r="E10" s="8">
        <v>277825747406.20001</v>
      </c>
      <c r="F10" s="9"/>
      <c r="G10" s="8">
        <v>-27083606451.056999</v>
      </c>
      <c r="H10" s="10">
        <v>28.094991666666701</v>
      </c>
      <c r="I10" s="9">
        <f t="shared" si="0"/>
        <v>0.69628019101275962</v>
      </c>
      <c r="J10" s="4"/>
      <c r="K10" t="s">
        <v>14</v>
      </c>
    </row>
    <row r="11" spans="1:12" x14ac:dyDescent="0.2">
      <c r="A11" t="s">
        <v>12</v>
      </c>
      <c r="B11" t="s">
        <v>13</v>
      </c>
      <c r="C11" s="7">
        <v>43830</v>
      </c>
      <c r="D11" s="8">
        <v>44880566052.3703</v>
      </c>
      <c r="E11" s="8">
        <v>280683596388</v>
      </c>
      <c r="F11" s="9"/>
      <c r="G11" s="8">
        <v>-3492479581.0842099</v>
      </c>
      <c r="H11" s="10">
        <v>48.147891666666702</v>
      </c>
      <c r="I11" s="9">
        <f t="shared" si="0"/>
        <v>0.71375354860103979</v>
      </c>
      <c r="J11" s="4"/>
      <c r="K11" t="s">
        <v>14</v>
      </c>
    </row>
    <row r="12" spans="1:12" x14ac:dyDescent="0.2">
      <c r="A12" t="s">
        <v>12</v>
      </c>
      <c r="B12" t="s">
        <v>13</v>
      </c>
      <c r="C12" s="7">
        <v>44196</v>
      </c>
      <c r="D12" s="8">
        <v>39403734630.122803</v>
      </c>
      <c r="E12" s="8">
        <v>255603072878.79999</v>
      </c>
      <c r="F12" s="9"/>
      <c r="G12" s="8">
        <v>2688362005.5231199</v>
      </c>
      <c r="H12" s="10">
        <v>70.539166666666702</v>
      </c>
      <c r="I12" s="9">
        <f t="shared" si="0"/>
        <v>0.46505203498872461</v>
      </c>
      <c r="J12" s="4"/>
      <c r="K12" t="s">
        <v>14</v>
      </c>
    </row>
    <row r="13" spans="1:12" x14ac:dyDescent="0.2">
      <c r="A13" t="s">
        <v>12</v>
      </c>
      <c r="B13" t="s">
        <v>13</v>
      </c>
      <c r="C13" s="7">
        <v>44561</v>
      </c>
      <c r="D13" s="8">
        <v>39653498610.782799</v>
      </c>
      <c r="E13" s="8">
        <v>246114307414</v>
      </c>
      <c r="F13" s="9"/>
      <c r="G13" s="8">
        <v>6624785192.3479996</v>
      </c>
      <c r="H13" s="10">
        <v>94.990741666666693</v>
      </c>
      <c r="I13" s="9">
        <f t="shared" si="0"/>
        <v>0.34663827424480465</v>
      </c>
      <c r="J13" s="4"/>
      <c r="K13" t="s">
        <v>14</v>
      </c>
    </row>
    <row r="14" spans="1:12" x14ac:dyDescent="0.2">
      <c r="A14" t="s">
        <v>12</v>
      </c>
      <c r="B14" t="s">
        <v>13</v>
      </c>
      <c r="C14" s="7">
        <v>44926</v>
      </c>
      <c r="D14" s="8">
        <v>44795335171.515198</v>
      </c>
      <c r="E14" s="8">
        <v>248976650822</v>
      </c>
      <c r="F14" s="9"/>
      <c r="G14" s="8">
        <v>-3964074915.2809501</v>
      </c>
      <c r="H14" s="10">
        <v>130.61654999999999</v>
      </c>
      <c r="I14" s="9">
        <f t="shared" si="0"/>
        <v>0.37504505921585807</v>
      </c>
      <c r="J14" s="4"/>
      <c r="K14" t="s">
        <v>15</v>
      </c>
      <c r="L14" t="s">
        <v>16</v>
      </c>
    </row>
    <row r="15" spans="1:12" x14ac:dyDescent="0.2">
      <c r="A15" t="s">
        <v>12</v>
      </c>
      <c r="B15" t="s">
        <v>13</v>
      </c>
      <c r="C15" s="7">
        <v>45291</v>
      </c>
      <c r="D15" s="8">
        <v>23080560550.294601</v>
      </c>
      <c r="E15" s="8">
        <v>252793904703.10001</v>
      </c>
      <c r="F15" s="9"/>
      <c r="G15" s="8">
        <v>-20751251605.550301</v>
      </c>
      <c r="H15" s="10">
        <v>296.258041666667</v>
      </c>
      <c r="I15" s="9">
        <f t="shared" si="0"/>
        <v>1.2681508711313154</v>
      </c>
      <c r="J15" s="4"/>
      <c r="K15" t="s">
        <v>15</v>
      </c>
      <c r="L15" t="s">
        <v>16</v>
      </c>
    </row>
    <row r="16" spans="1:12" x14ac:dyDescent="0.2">
      <c r="A16" t="s">
        <v>12</v>
      </c>
      <c r="B16" t="s">
        <v>13</v>
      </c>
      <c r="C16" s="7">
        <v>45657</v>
      </c>
      <c r="D16" s="8">
        <v>29559610350.7831</v>
      </c>
      <c r="E16" s="8">
        <v>242357155703.10001</v>
      </c>
      <c r="F16" s="9"/>
      <c r="G16" s="8">
        <v>5701359456.3620005</v>
      </c>
      <c r="H16" s="10">
        <v>914.694883333333</v>
      </c>
      <c r="I16" s="9">
        <f t="shared" si="0"/>
        <v>2.0874938556520148</v>
      </c>
      <c r="J16" s="4"/>
      <c r="K16" t="s">
        <v>15</v>
      </c>
      <c r="L16" t="s">
        <v>16</v>
      </c>
    </row>
    <row r="17" spans="1:11" x14ac:dyDescent="0.2">
      <c r="A17" t="s">
        <v>12</v>
      </c>
      <c r="B17" t="s">
        <v>17</v>
      </c>
      <c r="C17" s="7">
        <v>40543</v>
      </c>
      <c r="D17" s="8">
        <v>11174828666.952101</v>
      </c>
      <c r="E17" s="8">
        <v>26571755072</v>
      </c>
      <c r="F17" s="9"/>
      <c r="G17" s="8">
        <v>2108502536.7416601</v>
      </c>
      <c r="H17" s="10">
        <v>69.649291666666699</v>
      </c>
      <c r="I17" s="9" t="str">
        <f t="shared" si="0"/>
        <v/>
      </c>
      <c r="J17" s="4"/>
      <c r="K17" t="s">
        <v>14</v>
      </c>
    </row>
    <row r="18" spans="1:11" x14ac:dyDescent="0.2">
      <c r="A18" t="s">
        <v>12</v>
      </c>
      <c r="B18" t="s">
        <v>17</v>
      </c>
      <c r="C18" s="7">
        <v>40908</v>
      </c>
      <c r="D18" s="8">
        <v>9174749651.1268101</v>
      </c>
      <c r="E18" s="8">
        <v>27046084648.200001</v>
      </c>
      <c r="F18" s="9"/>
      <c r="G18" s="8">
        <v>-161842538.67882401</v>
      </c>
      <c r="H18" s="10">
        <v>74.1524</v>
      </c>
      <c r="I18" s="9">
        <f t="shared" si="0"/>
        <v>6.4654043502475833E-2</v>
      </c>
      <c r="J18" s="4"/>
      <c r="K18" t="s">
        <v>14</v>
      </c>
    </row>
    <row r="19" spans="1:11" x14ac:dyDescent="0.2">
      <c r="A19" t="s">
        <v>12</v>
      </c>
      <c r="B19" t="s">
        <v>17</v>
      </c>
      <c r="C19" s="7">
        <v>41274</v>
      </c>
      <c r="D19" s="8">
        <v>12754226899.607201</v>
      </c>
      <c r="E19" s="8">
        <v>29155976742.099998</v>
      </c>
      <c r="F19" s="9"/>
      <c r="G19" s="8">
        <v>2575500680.6104898</v>
      </c>
      <c r="H19" s="10">
        <v>81.8626583333333</v>
      </c>
      <c r="I19" s="9">
        <f t="shared" si="0"/>
        <v>0.10397854059117839</v>
      </c>
      <c r="J19" s="4"/>
      <c r="K19" t="s">
        <v>14</v>
      </c>
    </row>
    <row r="20" spans="1:11" x14ac:dyDescent="0.2">
      <c r="A20" t="s">
        <v>12</v>
      </c>
      <c r="B20" t="s">
        <v>17</v>
      </c>
      <c r="C20" s="7">
        <v>41639</v>
      </c>
      <c r="D20" s="8">
        <v>18087689200.062</v>
      </c>
      <c r="E20" s="8">
        <v>32454687016.799999</v>
      </c>
      <c r="F20" s="9"/>
      <c r="G20" s="8">
        <v>2058473420.43086</v>
      </c>
      <c r="H20" s="10">
        <v>78.103234999999998</v>
      </c>
      <c r="I20" s="9">
        <f t="shared" si="0"/>
        <v>-4.5923543284234092E-2</v>
      </c>
      <c r="J20" s="4"/>
      <c r="K20" t="s">
        <v>14</v>
      </c>
    </row>
    <row r="21" spans="1:11" x14ac:dyDescent="0.2">
      <c r="A21" t="s">
        <v>12</v>
      </c>
      <c r="B21" t="s">
        <v>17</v>
      </c>
      <c r="C21" s="7">
        <v>42004</v>
      </c>
      <c r="D21" s="8">
        <v>22319788312.479698</v>
      </c>
      <c r="E21" s="8">
        <v>35270692354.699997</v>
      </c>
      <c r="F21" s="9"/>
      <c r="G21" s="8">
        <v>755790761.66014004</v>
      </c>
      <c r="H21" s="10">
        <v>77.641408333333302</v>
      </c>
      <c r="I21" s="9">
        <f t="shared" si="0"/>
        <v>-5.9130286558130019E-3</v>
      </c>
      <c r="J21" s="4"/>
      <c r="K21" t="s">
        <v>14</v>
      </c>
    </row>
    <row r="22" spans="1:11" x14ac:dyDescent="0.2">
      <c r="A22" t="s">
        <v>12</v>
      </c>
      <c r="B22" t="s">
        <v>17</v>
      </c>
      <c r="C22" s="7">
        <v>42369</v>
      </c>
      <c r="D22" s="8">
        <v>27493077971.9949</v>
      </c>
      <c r="E22" s="8">
        <v>38770937144.199997</v>
      </c>
      <c r="F22" s="9"/>
      <c r="G22" s="8">
        <v>2579621008.7761998</v>
      </c>
      <c r="H22" s="10">
        <v>77.946908333333297</v>
      </c>
      <c r="I22" s="9">
        <f t="shared" si="0"/>
        <v>3.9347560349294319E-3</v>
      </c>
      <c r="J22" s="4"/>
      <c r="K22" t="s">
        <v>14</v>
      </c>
    </row>
    <row r="23" spans="1:11" x14ac:dyDescent="0.2">
      <c r="A23" t="s">
        <v>12</v>
      </c>
      <c r="B23" t="s">
        <v>17</v>
      </c>
      <c r="C23" s="7">
        <v>42735</v>
      </c>
      <c r="D23" s="8">
        <v>32283838538.903702</v>
      </c>
      <c r="E23" s="8">
        <v>41569252897.699997</v>
      </c>
      <c r="F23" s="9"/>
      <c r="G23" s="8">
        <v>931393867.98711598</v>
      </c>
      <c r="H23" s="10">
        <v>78.468091666666695</v>
      </c>
      <c r="I23" s="9">
        <f t="shared" si="0"/>
        <v>6.6863887802270927E-3</v>
      </c>
      <c r="J23" s="4"/>
      <c r="K23" t="s">
        <v>14</v>
      </c>
    </row>
    <row r="24" spans="1:11" x14ac:dyDescent="0.2">
      <c r="A24" t="s">
        <v>12</v>
      </c>
      <c r="B24" t="s">
        <v>17</v>
      </c>
      <c r="C24" s="7">
        <v>43100</v>
      </c>
      <c r="D24" s="8">
        <v>33431482893.1712</v>
      </c>
      <c r="E24" s="8">
        <v>51068283464.599998</v>
      </c>
      <c r="F24" s="9"/>
      <c r="G24" s="8">
        <v>-5984992475.6315098</v>
      </c>
      <c r="H24" s="10">
        <v>80.437541666666704</v>
      </c>
      <c r="I24" s="9">
        <f t="shared" si="0"/>
        <v>2.5098737055646136E-2</v>
      </c>
      <c r="J24" s="4"/>
      <c r="K24" t="s">
        <v>14</v>
      </c>
    </row>
    <row r="25" spans="1:11" x14ac:dyDescent="0.2">
      <c r="A25" t="s">
        <v>12</v>
      </c>
      <c r="B25" t="s">
        <v>17</v>
      </c>
      <c r="C25" s="7">
        <v>43465</v>
      </c>
      <c r="D25" s="8">
        <v>32028383716.595001</v>
      </c>
      <c r="E25" s="8">
        <v>57125459320.599998</v>
      </c>
      <c r="F25" s="9"/>
      <c r="G25" s="8">
        <v>-7095172568.1497698</v>
      </c>
      <c r="H25" s="10">
        <v>83.466201916666705</v>
      </c>
      <c r="I25" s="9">
        <f t="shared" si="0"/>
        <v>3.7652322376419356E-2</v>
      </c>
      <c r="J25" s="4"/>
      <c r="K25" t="s">
        <v>14</v>
      </c>
    </row>
    <row r="26" spans="1:11" x14ac:dyDescent="0.2">
      <c r="A26" t="s">
        <v>12</v>
      </c>
      <c r="B26" t="s">
        <v>17</v>
      </c>
      <c r="C26" s="7">
        <v>43830</v>
      </c>
      <c r="D26" s="8">
        <v>32696936140.2925</v>
      </c>
      <c r="E26" s="8">
        <v>62468325028.800003</v>
      </c>
      <c r="F26" s="9"/>
      <c r="G26" s="8">
        <v>-2948537074.5149298</v>
      </c>
      <c r="H26" s="10">
        <v>84.453522500000005</v>
      </c>
      <c r="I26" s="9">
        <f t="shared" si="0"/>
        <v>1.1828986591711166E-2</v>
      </c>
      <c r="J26" s="4"/>
      <c r="K26" t="s">
        <v>14</v>
      </c>
    </row>
    <row r="27" spans="1:11" x14ac:dyDescent="0.2">
      <c r="A27" t="s">
        <v>12</v>
      </c>
      <c r="B27" t="s">
        <v>17</v>
      </c>
      <c r="C27" s="7">
        <v>44196</v>
      </c>
      <c r="D27" s="8">
        <v>43171735335.800102</v>
      </c>
      <c r="E27" s="8">
        <v>73550857817.100006</v>
      </c>
      <c r="F27" s="9"/>
      <c r="G27" s="8">
        <v>1192771686.32568</v>
      </c>
      <c r="H27" s="10">
        <v>84.871391666666696</v>
      </c>
      <c r="I27" s="9">
        <f t="shared" si="0"/>
        <v>4.9479187403544955E-3</v>
      </c>
      <c r="J27" s="4"/>
      <c r="K27" t="s">
        <v>14</v>
      </c>
    </row>
    <row r="28" spans="1:11" x14ac:dyDescent="0.2">
      <c r="A28" t="s">
        <v>12</v>
      </c>
      <c r="B28" t="s">
        <v>17</v>
      </c>
      <c r="C28" s="7">
        <v>44561</v>
      </c>
      <c r="D28" s="8">
        <v>46165532457.155502</v>
      </c>
      <c r="E28" s="8">
        <v>91477590071.600006</v>
      </c>
      <c r="F28" s="9"/>
      <c r="G28" s="8">
        <v>-15775415833.0742</v>
      </c>
      <c r="H28" s="10">
        <v>85.083763250000004</v>
      </c>
      <c r="I28" s="9">
        <f t="shared" si="0"/>
        <v>2.5022752562771089E-3</v>
      </c>
      <c r="J28" s="4"/>
      <c r="K28" t="s">
        <v>14</v>
      </c>
    </row>
    <row r="29" spans="1:11" x14ac:dyDescent="0.2">
      <c r="A29" t="s">
        <v>12</v>
      </c>
      <c r="B29" t="s">
        <v>17</v>
      </c>
      <c r="C29" s="7">
        <v>44926</v>
      </c>
      <c r="D29" s="8">
        <v>33747202271.702099</v>
      </c>
      <c r="E29" s="8">
        <v>96944431751</v>
      </c>
      <c r="F29" s="9"/>
      <c r="G29" s="8">
        <v>-14437645294.5494</v>
      </c>
      <c r="H29" s="10">
        <v>91.745454439696104</v>
      </c>
      <c r="I29" s="9">
        <f t="shared" si="0"/>
        <v>7.829568104694884E-2</v>
      </c>
      <c r="J29" s="4"/>
      <c r="K29" t="s">
        <v>14</v>
      </c>
    </row>
    <row r="30" spans="1:11" x14ac:dyDescent="0.2">
      <c r="A30" t="s">
        <v>12</v>
      </c>
      <c r="B30" t="s">
        <v>17</v>
      </c>
      <c r="C30" s="7">
        <v>45291</v>
      </c>
      <c r="D30" s="8">
        <v>21859709190.889198</v>
      </c>
      <c r="E30" s="8">
        <v>101370771740.3</v>
      </c>
      <c r="F30" s="9"/>
      <c r="G30" s="8">
        <v>4387571900.1217899</v>
      </c>
      <c r="H30" s="10">
        <v>106.309484297483</v>
      </c>
      <c r="I30" s="9">
        <f t="shared" si="0"/>
        <v>0.15874388487943847</v>
      </c>
      <c r="J30" s="4"/>
      <c r="K30" t="s">
        <v>14</v>
      </c>
    </row>
    <row r="31" spans="1:11" x14ac:dyDescent="0.2">
      <c r="A31" t="s">
        <v>12</v>
      </c>
      <c r="B31" t="s">
        <v>17</v>
      </c>
      <c r="C31" s="7">
        <v>45657</v>
      </c>
      <c r="D31" s="8">
        <v>21394795733.040501</v>
      </c>
      <c r="E31" s="8">
        <v>104486886261.10001</v>
      </c>
      <c r="F31" s="9"/>
      <c r="G31" s="8">
        <v>1434553195.3768699</v>
      </c>
      <c r="H31" s="10">
        <v>115.603653796648</v>
      </c>
      <c r="I31" s="9">
        <f t="shared" si="0"/>
        <v>8.7425591052228135E-2</v>
      </c>
      <c r="J31" s="4"/>
      <c r="K31" t="s">
        <v>14</v>
      </c>
    </row>
    <row r="32" spans="1:11" x14ac:dyDescent="0.2">
      <c r="A32" t="s">
        <v>12</v>
      </c>
      <c r="B32" t="s">
        <v>18</v>
      </c>
      <c r="C32" s="7">
        <v>40543</v>
      </c>
      <c r="D32" s="8">
        <v>288574623536.62201</v>
      </c>
      <c r="E32" s="8">
        <v>352364412862.59998</v>
      </c>
      <c r="F32" s="9">
        <v>61.318780464080199</v>
      </c>
      <c r="G32" s="8">
        <v>-86717778084.25</v>
      </c>
      <c r="H32" s="10">
        <v>1.7592267105871799</v>
      </c>
      <c r="I32" s="9" t="str">
        <f t="shared" si="0"/>
        <v/>
      </c>
      <c r="J32" s="4"/>
      <c r="K32" t="s">
        <v>14</v>
      </c>
    </row>
    <row r="33" spans="1:11" x14ac:dyDescent="0.2">
      <c r="A33" t="s">
        <v>12</v>
      </c>
      <c r="B33" t="s">
        <v>18</v>
      </c>
      <c r="C33" s="7">
        <v>40908</v>
      </c>
      <c r="D33" s="8">
        <v>352010222755.82898</v>
      </c>
      <c r="E33" s="8">
        <v>404046105342.09998</v>
      </c>
      <c r="F33" s="9">
        <v>59.341658294151998</v>
      </c>
      <c r="G33" s="8">
        <v>-83576205984.365005</v>
      </c>
      <c r="H33" s="10">
        <v>1.6728287552565899</v>
      </c>
      <c r="I33" s="9">
        <f t="shared" si="0"/>
        <v>-4.911132534007101E-2</v>
      </c>
      <c r="J33" s="4"/>
      <c r="K33" t="s">
        <v>14</v>
      </c>
    </row>
    <row r="34" spans="1:11" x14ac:dyDescent="0.2">
      <c r="A34" t="s">
        <v>12</v>
      </c>
      <c r="B34" t="s">
        <v>18</v>
      </c>
      <c r="C34" s="7">
        <v>41274</v>
      </c>
      <c r="D34" s="8">
        <v>373160977539.73199</v>
      </c>
      <c r="E34" s="8">
        <v>440496598192.79999</v>
      </c>
      <c r="F34" s="9">
        <v>59.8494900102759</v>
      </c>
      <c r="G34" s="8">
        <v>-92678171336.369995</v>
      </c>
      <c r="H34" s="10">
        <v>1.9530686111248701</v>
      </c>
      <c r="I34" s="9">
        <f t="shared" si="0"/>
        <v>0.16752453291328973</v>
      </c>
      <c r="J34" s="4"/>
      <c r="K34" t="s">
        <v>14</v>
      </c>
    </row>
    <row r="35" spans="1:11" x14ac:dyDescent="0.2">
      <c r="A35" t="s">
        <v>12</v>
      </c>
      <c r="B35" t="s">
        <v>18</v>
      </c>
      <c r="C35" s="7">
        <v>41639</v>
      </c>
      <c r="D35" s="8">
        <v>358816422466.11798</v>
      </c>
      <c r="E35" s="8">
        <v>483734834011.90002</v>
      </c>
      <c r="F35" s="9">
        <v>57.228409385843399</v>
      </c>
      <c r="G35" s="8">
        <v>-88384030093.089996</v>
      </c>
      <c r="H35" s="10">
        <v>2.1560891512631102</v>
      </c>
      <c r="I35" s="9">
        <f t="shared" si="0"/>
        <v>0.10394951768812177</v>
      </c>
      <c r="J35" s="4"/>
      <c r="K35" t="s">
        <v>14</v>
      </c>
    </row>
    <row r="36" spans="1:11" x14ac:dyDescent="0.2">
      <c r="A36" t="s">
        <v>12</v>
      </c>
      <c r="B36" t="s">
        <v>18</v>
      </c>
      <c r="C36" s="7">
        <v>42004</v>
      </c>
      <c r="D36" s="8">
        <v>363570226084.66101</v>
      </c>
      <c r="E36" s="8">
        <v>556919631071.69995</v>
      </c>
      <c r="F36" s="9">
        <v>58.457271100750802</v>
      </c>
      <c r="G36" s="8">
        <v>-110493241349.855</v>
      </c>
      <c r="H36" s="10">
        <v>2.3529519627666899</v>
      </c>
      <c r="I36" s="9">
        <f t="shared" si="0"/>
        <v>9.1305506262693736E-2</v>
      </c>
      <c r="J36" s="4"/>
      <c r="K36" t="s">
        <v>14</v>
      </c>
    </row>
    <row r="37" spans="1:11" x14ac:dyDescent="0.2">
      <c r="A37" t="s">
        <v>12</v>
      </c>
      <c r="B37" t="s">
        <v>18</v>
      </c>
      <c r="C37" s="7">
        <v>42369</v>
      </c>
      <c r="D37" s="8">
        <v>356464980327.48798</v>
      </c>
      <c r="E37" s="8">
        <v>543397356309.79999</v>
      </c>
      <c r="F37" s="9">
        <v>67.537554038941806</v>
      </c>
      <c r="G37" s="8">
        <v>-63408884124.214996</v>
      </c>
      <c r="H37" s="10">
        <v>3.3269043827687899</v>
      </c>
      <c r="I37" s="9">
        <f t="shared" si="0"/>
        <v>0.41392788098269961</v>
      </c>
      <c r="J37" s="4"/>
      <c r="K37" t="s">
        <v>14</v>
      </c>
    </row>
    <row r="38" spans="1:11" x14ac:dyDescent="0.2">
      <c r="A38" t="s">
        <v>12</v>
      </c>
      <c r="B38" t="s">
        <v>18</v>
      </c>
      <c r="C38" s="7">
        <v>42735</v>
      </c>
      <c r="D38" s="8">
        <v>364984039092.45599</v>
      </c>
      <c r="E38" s="8">
        <v>543257228545.29999</v>
      </c>
      <c r="F38" s="9">
        <v>73.418803809850701</v>
      </c>
      <c r="G38" s="8">
        <v>-30528825466.82</v>
      </c>
      <c r="H38" s="10">
        <v>3.49131342157271</v>
      </c>
      <c r="I38" s="9">
        <f t="shared" si="0"/>
        <v>4.9418023450103377E-2</v>
      </c>
      <c r="J38" s="4"/>
      <c r="K38" t="s">
        <v>14</v>
      </c>
    </row>
    <row r="39" spans="1:11" x14ac:dyDescent="0.2">
      <c r="A39" t="s">
        <v>12</v>
      </c>
      <c r="B39" t="s">
        <v>18</v>
      </c>
      <c r="C39" s="7">
        <v>43100</v>
      </c>
      <c r="D39" s="8">
        <v>373955518686.487</v>
      </c>
      <c r="E39" s="8">
        <v>543000470110.90002</v>
      </c>
      <c r="F39" s="9">
        <v>83.669202648479299</v>
      </c>
      <c r="G39" s="8">
        <v>-25263598550.209999</v>
      </c>
      <c r="H39" s="10">
        <v>3.1913894463004802</v>
      </c>
      <c r="I39" s="9">
        <f t="shared" si="0"/>
        <v>-8.5905772142658265E-2</v>
      </c>
      <c r="J39" s="4"/>
      <c r="K39" t="s">
        <v>14</v>
      </c>
    </row>
    <row r="40" spans="1:11" x14ac:dyDescent="0.2">
      <c r="A40" t="s">
        <v>12</v>
      </c>
      <c r="B40" t="s">
        <v>18</v>
      </c>
      <c r="C40" s="7">
        <v>43465</v>
      </c>
      <c r="D40" s="8">
        <v>374709673447.828</v>
      </c>
      <c r="E40" s="8">
        <v>557765380774.59998</v>
      </c>
      <c r="F40" s="9">
        <v>86.6078841230118</v>
      </c>
      <c r="G40" s="8">
        <v>-53818304220.984901</v>
      </c>
      <c r="H40" s="10">
        <v>3.65382536145755</v>
      </c>
      <c r="I40" s="9">
        <f t="shared" si="0"/>
        <v>0.14490112314344294</v>
      </c>
      <c r="J40" s="4"/>
      <c r="K40" t="s">
        <v>14</v>
      </c>
    </row>
    <row r="41" spans="1:11" x14ac:dyDescent="0.2">
      <c r="A41" t="s">
        <v>12</v>
      </c>
      <c r="B41" t="s">
        <v>18</v>
      </c>
      <c r="C41" s="7">
        <v>43830</v>
      </c>
      <c r="D41" s="8">
        <v>356886386911.979</v>
      </c>
      <c r="E41" s="8">
        <v>568708887352.19995</v>
      </c>
      <c r="F41" s="9">
        <v>92.565253201033599</v>
      </c>
      <c r="G41" s="8">
        <v>-63959511165.035004</v>
      </c>
      <c r="H41" s="10">
        <v>3.9444710972507</v>
      </c>
      <c r="I41" s="9">
        <f t="shared" si="0"/>
        <v>7.954560140148792E-2</v>
      </c>
      <c r="J41" s="4"/>
      <c r="K41" t="s">
        <v>14</v>
      </c>
    </row>
    <row r="42" spans="1:11" x14ac:dyDescent="0.2">
      <c r="A42" t="s">
        <v>12</v>
      </c>
      <c r="B42" t="s">
        <v>18</v>
      </c>
      <c r="C42" s="7">
        <v>44196</v>
      </c>
      <c r="D42" s="8">
        <v>355614251456.14001</v>
      </c>
      <c r="E42" s="8">
        <v>549329010779</v>
      </c>
      <c r="F42" s="9">
        <v>98.709881948171599</v>
      </c>
      <c r="G42" s="8">
        <v>-24223442477.915001</v>
      </c>
      <c r="H42" s="10">
        <v>5.1551787875128099</v>
      </c>
      <c r="I42" s="9">
        <f t="shared" si="0"/>
        <v>0.30693790381832797</v>
      </c>
      <c r="J42" s="4"/>
      <c r="K42" t="s">
        <v>14</v>
      </c>
    </row>
    <row r="43" spans="1:11" x14ac:dyDescent="0.2">
      <c r="A43" t="s">
        <v>12</v>
      </c>
      <c r="B43" t="s">
        <v>18</v>
      </c>
      <c r="C43" s="7">
        <v>44561</v>
      </c>
      <c r="D43" s="8">
        <v>362210079181.31702</v>
      </c>
      <c r="E43" s="8">
        <v>571193915507.80005</v>
      </c>
      <c r="F43" s="9">
        <v>85.011503675910504</v>
      </c>
      <c r="G43" s="8">
        <v>-39397557333.009903</v>
      </c>
      <c r="H43" s="10">
        <v>5.3944007896250303</v>
      </c>
      <c r="I43" s="9">
        <f t="shared" si="0"/>
        <v>4.6404210595310191E-2</v>
      </c>
      <c r="J43" s="4"/>
      <c r="K43" t="s">
        <v>14</v>
      </c>
    </row>
    <row r="44" spans="1:11" x14ac:dyDescent="0.2">
      <c r="A44" t="s">
        <v>12</v>
      </c>
      <c r="B44" t="s">
        <v>18</v>
      </c>
      <c r="C44" s="7">
        <v>44926</v>
      </c>
      <c r="D44" s="8">
        <v>324673449781.40002</v>
      </c>
      <c r="E44" s="8">
        <v>579257850288.19995</v>
      </c>
      <c r="F44" s="9">
        <v>79.102321887687793</v>
      </c>
      <c r="G44" s="8">
        <v>-41960059748.660004</v>
      </c>
      <c r="H44" s="10">
        <v>5.1639702910211103</v>
      </c>
      <c r="I44" s="9">
        <f t="shared" si="0"/>
        <v>-4.2716607013535857E-2</v>
      </c>
      <c r="J44" s="4"/>
      <c r="K44" t="s">
        <v>14</v>
      </c>
    </row>
    <row r="45" spans="1:11" x14ac:dyDescent="0.2">
      <c r="A45" t="s">
        <v>12</v>
      </c>
      <c r="B45" t="s">
        <v>18</v>
      </c>
      <c r="C45" s="7">
        <v>45291</v>
      </c>
      <c r="D45" s="8">
        <v>355021395541.56201</v>
      </c>
      <c r="E45" s="8">
        <v>607387151485.09998</v>
      </c>
      <c r="F45" s="9">
        <v>83.031749851113105</v>
      </c>
      <c r="G45" s="8">
        <v>-27073227179.5849</v>
      </c>
      <c r="H45" s="10">
        <v>4.9943797628719899</v>
      </c>
      <c r="I45" s="9">
        <f t="shared" si="0"/>
        <v>-3.2841112282151808E-2</v>
      </c>
      <c r="J45" s="4"/>
      <c r="K45" t="s">
        <v>14</v>
      </c>
    </row>
    <row r="46" spans="1:11" x14ac:dyDescent="0.2">
      <c r="A46" t="s">
        <v>12</v>
      </c>
      <c r="B46" t="s">
        <v>18</v>
      </c>
      <c r="C46" s="7">
        <v>45657</v>
      </c>
      <c r="D46" s="8">
        <v>329732443813.37799</v>
      </c>
      <c r="E46" s="8">
        <v>605463780812.80005</v>
      </c>
      <c r="F46" s="9">
        <v>81.855443121638302</v>
      </c>
      <c r="G46" s="8">
        <v>-66168310204.469902</v>
      </c>
      <c r="H46" s="10">
        <v>5.3889349057095997</v>
      </c>
      <c r="I46" s="9">
        <f t="shared" si="0"/>
        <v>7.8999828120944304E-2</v>
      </c>
      <c r="J46" s="4"/>
      <c r="K46" t="s">
        <v>14</v>
      </c>
    </row>
    <row r="47" spans="1:11" x14ac:dyDescent="0.2">
      <c r="A47" t="s">
        <v>12</v>
      </c>
      <c r="B47" t="s">
        <v>19</v>
      </c>
      <c r="C47" s="7">
        <v>40543</v>
      </c>
      <c r="D47" s="8">
        <v>28076156124.462502</v>
      </c>
      <c r="E47" s="8">
        <v>64432098617.300003</v>
      </c>
      <c r="F47" s="9">
        <v>72.452669926111099</v>
      </c>
      <c r="G47" s="8">
        <v>-8583011647.5019302</v>
      </c>
      <c r="H47" s="10">
        <v>1898.9974999999999</v>
      </c>
      <c r="I47" s="9" t="str">
        <f t="shared" si="0"/>
        <v/>
      </c>
      <c r="J47" s="4"/>
      <c r="K47" t="s">
        <v>14</v>
      </c>
    </row>
    <row r="48" spans="1:11" x14ac:dyDescent="0.2">
      <c r="A48" t="s">
        <v>12</v>
      </c>
      <c r="B48" t="s">
        <v>19</v>
      </c>
      <c r="C48" s="7">
        <v>40908</v>
      </c>
      <c r="D48" s="8">
        <v>31895547050.8778</v>
      </c>
      <c r="E48" s="8">
        <v>76162726605.399994</v>
      </c>
      <c r="F48" s="9">
        <v>62.860132822205301</v>
      </c>
      <c r="G48" s="8">
        <v>-9734499319.5443707</v>
      </c>
      <c r="H48" s="10">
        <v>1848.0166666666701</v>
      </c>
      <c r="I48" s="9">
        <f t="shared" si="0"/>
        <v>-2.6846182437486044E-2</v>
      </c>
      <c r="J48" s="4"/>
      <c r="K48" t="s">
        <v>14</v>
      </c>
    </row>
    <row r="49" spans="1:11" x14ac:dyDescent="0.2">
      <c r="A49" t="s">
        <v>12</v>
      </c>
      <c r="B49" t="s">
        <v>19</v>
      </c>
      <c r="C49" s="7">
        <v>41274</v>
      </c>
      <c r="D49" s="8">
        <v>36997795799.964302</v>
      </c>
      <c r="E49" s="8">
        <v>79252462685.399994</v>
      </c>
      <c r="F49" s="9">
        <v>65.227695883164003</v>
      </c>
      <c r="G49" s="8">
        <v>-11639998929.753</v>
      </c>
      <c r="H49" s="10">
        <v>1798.01166666667</v>
      </c>
      <c r="I49" s="9">
        <f t="shared" si="0"/>
        <v>-2.7058738647739444E-2</v>
      </c>
      <c r="J49" s="4"/>
      <c r="K49" t="s">
        <v>14</v>
      </c>
    </row>
    <row r="50" spans="1:11" x14ac:dyDescent="0.2">
      <c r="A50" t="s">
        <v>12</v>
      </c>
      <c r="B50" t="s">
        <v>19</v>
      </c>
      <c r="C50" s="7">
        <v>41639</v>
      </c>
      <c r="D50" s="8">
        <v>43158795571.836502</v>
      </c>
      <c r="E50" s="8">
        <v>92652963348.300003</v>
      </c>
      <c r="F50" s="9">
        <v>67.102911945642902</v>
      </c>
      <c r="G50" s="8">
        <v>-12365127742.02</v>
      </c>
      <c r="H50" s="10">
        <v>1868.895</v>
      </c>
      <c r="I50" s="9">
        <f t="shared" si="0"/>
        <v>3.9423177639742679E-2</v>
      </c>
      <c r="J50" s="4"/>
      <c r="K50" t="s">
        <v>14</v>
      </c>
    </row>
    <row r="51" spans="1:11" x14ac:dyDescent="0.2">
      <c r="A51" t="s">
        <v>12</v>
      </c>
      <c r="B51" t="s">
        <v>19</v>
      </c>
      <c r="C51" s="7">
        <v>42004</v>
      </c>
      <c r="D51" s="8">
        <v>46809443348.424896</v>
      </c>
      <c r="E51" s="8">
        <v>104660028439.7</v>
      </c>
      <c r="F51" s="9">
        <v>47.976169513031103</v>
      </c>
      <c r="G51" s="8">
        <v>-19818544018.190399</v>
      </c>
      <c r="H51" s="10">
        <v>2001.105</v>
      </c>
      <c r="I51" s="9">
        <f t="shared" si="0"/>
        <v>7.0742337049432891E-2</v>
      </c>
      <c r="J51" s="4"/>
      <c r="K51" t="s">
        <v>14</v>
      </c>
    </row>
    <row r="52" spans="1:11" x14ac:dyDescent="0.2">
      <c r="A52" t="s">
        <v>12</v>
      </c>
      <c r="B52" t="s">
        <v>19</v>
      </c>
      <c r="C52" s="7">
        <v>42369</v>
      </c>
      <c r="D52" s="8">
        <v>46222893468.525002</v>
      </c>
      <c r="E52" s="8">
        <v>113419683932.3</v>
      </c>
      <c r="F52" s="9">
        <v>53.278587471976898</v>
      </c>
      <c r="G52" s="8">
        <v>-18702227284.958</v>
      </c>
      <c r="H52" s="10">
        <v>2741.7816666666699</v>
      </c>
      <c r="I52" s="9">
        <f t="shared" si="0"/>
        <v>0.3701338343898346</v>
      </c>
      <c r="J52" s="4"/>
      <c r="K52" t="s">
        <v>14</v>
      </c>
    </row>
    <row r="53" spans="1:11" x14ac:dyDescent="0.2">
      <c r="A53" t="s">
        <v>12</v>
      </c>
      <c r="B53" t="s">
        <v>19</v>
      </c>
      <c r="C53" s="7">
        <v>42735</v>
      </c>
      <c r="D53" s="8">
        <v>46173772892.665398</v>
      </c>
      <c r="E53" s="8">
        <v>120886231723.7</v>
      </c>
      <c r="F53" s="9">
        <v>66.907160915601395</v>
      </c>
      <c r="G53" s="8">
        <v>-12586559420.1663</v>
      </c>
      <c r="H53" s="10">
        <v>3055.2550000000001</v>
      </c>
      <c r="I53" s="9">
        <f t="shared" si="0"/>
        <v>0.11433198242748355</v>
      </c>
      <c r="J53" s="4"/>
      <c r="K53" t="s">
        <v>14</v>
      </c>
    </row>
    <row r="54" spans="1:11" x14ac:dyDescent="0.2">
      <c r="A54" t="s">
        <v>12</v>
      </c>
      <c r="B54" t="s">
        <v>19</v>
      </c>
      <c r="C54" s="7">
        <v>43100</v>
      </c>
      <c r="D54" s="8">
        <v>47131104746.756302</v>
      </c>
      <c r="E54" s="8">
        <v>126232114685.3</v>
      </c>
      <c r="F54" s="9">
        <v>66.727247843766904</v>
      </c>
      <c r="G54" s="8">
        <v>-9924358408.2320194</v>
      </c>
      <c r="H54" s="10">
        <v>2951.4869112016199</v>
      </c>
      <c r="I54" s="9">
        <f t="shared" si="0"/>
        <v>-3.3963806228409776E-2</v>
      </c>
      <c r="J54" s="4"/>
      <c r="K54" t="s">
        <v>14</v>
      </c>
    </row>
    <row r="55" spans="1:11" x14ac:dyDescent="0.2">
      <c r="A55" t="s">
        <v>12</v>
      </c>
      <c r="B55" t="s">
        <v>19</v>
      </c>
      <c r="C55" s="7">
        <v>43465</v>
      </c>
      <c r="D55" s="8">
        <v>47887623364.351097</v>
      </c>
      <c r="E55" s="8">
        <v>133418271143.3</v>
      </c>
      <c r="F55" s="9">
        <v>71.650570252209207</v>
      </c>
      <c r="G55" s="8">
        <v>-14040948614.9478</v>
      </c>
      <c r="H55" s="10">
        <v>2955.70396997842</v>
      </c>
      <c r="I55" s="9">
        <f t="shared" si="0"/>
        <v>1.4287912850960982E-3</v>
      </c>
      <c r="J55" s="4"/>
      <c r="K55" t="s">
        <v>14</v>
      </c>
    </row>
    <row r="56" spans="1:11" x14ac:dyDescent="0.2">
      <c r="A56" t="s">
        <v>12</v>
      </c>
      <c r="B56" t="s">
        <v>19</v>
      </c>
      <c r="C56" s="7">
        <v>43830</v>
      </c>
      <c r="D56" s="8">
        <v>52652707434.790199</v>
      </c>
      <c r="E56" s="8">
        <v>139077632215</v>
      </c>
      <c r="F56" s="9">
        <v>72.703878581373999</v>
      </c>
      <c r="G56" s="8">
        <v>-14808662077.606501</v>
      </c>
      <c r="H56" s="10">
        <v>3281.6221938178801</v>
      </c>
      <c r="I56" s="9">
        <f t="shared" si="0"/>
        <v>0.11026754612432987</v>
      </c>
      <c r="J56" s="4"/>
      <c r="K56" t="s">
        <v>14</v>
      </c>
    </row>
    <row r="57" spans="1:11" x14ac:dyDescent="0.2">
      <c r="A57" t="s">
        <v>12</v>
      </c>
      <c r="B57" t="s">
        <v>19</v>
      </c>
      <c r="C57" s="7">
        <v>44196</v>
      </c>
      <c r="D57" s="8">
        <v>58499477956.7248</v>
      </c>
      <c r="E57" s="8">
        <v>155866446816.39999</v>
      </c>
      <c r="F57" s="9">
        <v>91.156606942014307</v>
      </c>
      <c r="G57" s="8">
        <v>-9266809779.5969009</v>
      </c>
      <c r="H57" s="10">
        <v>3693.27583333333</v>
      </c>
      <c r="I57" s="9">
        <f t="shared" si="0"/>
        <v>0.12544211831908858</v>
      </c>
      <c r="J57" s="4"/>
      <c r="K57" t="s">
        <v>14</v>
      </c>
    </row>
    <row r="58" spans="1:11" x14ac:dyDescent="0.2">
      <c r="A58" t="s">
        <v>12</v>
      </c>
      <c r="B58" t="s">
        <v>19</v>
      </c>
      <c r="C58" s="7">
        <v>44561</v>
      </c>
      <c r="D58" s="8">
        <v>58018679406.687302</v>
      </c>
      <c r="E58" s="8">
        <v>172248574075</v>
      </c>
      <c r="F58" s="9">
        <v>80.4259616026375</v>
      </c>
      <c r="G58" s="8">
        <v>-17949402964.314201</v>
      </c>
      <c r="H58" s="10">
        <v>3744.24416666667</v>
      </c>
      <c r="I58" s="9">
        <f t="shared" si="0"/>
        <v>1.3800305104029853E-2</v>
      </c>
      <c r="J58" s="4"/>
      <c r="K58" t="s">
        <v>14</v>
      </c>
    </row>
    <row r="59" spans="1:11" x14ac:dyDescent="0.2">
      <c r="A59" t="s">
        <v>12</v>
      </c>
      <c r="B59" t="s">
        <v>19</v>
      </c>
      <c r="C59" s="7">
        <v>44926</v>
      </c>
      <c r="D59" s="8">
        <v>56703971712.560501</v>
      </c>
      <c r="E59" s="8">
        <v>184496121410.20001</v>
      </c>
      <c r="F59" s="9">
        <v>70.261160005682896</v>
      </c>
      <c r="G59" s="8">
        <v>-20852670457.824299</v>
      </c>
      <c r="H59" s="10">
        <v>4256.1941666666698</v>
      </c>
      <c r="I59" s="9">
        <f t="shared" si="0"/>
        <v>0.1367298651507991</v>
      </c>
      <c r="J59" s="4"/>
      <c r="K59" t="s">
        <v>14</v>
      </c>
    </row>
    <row r="60" spans="1:11" x14ac:dyDescent="0.2">
      <c r="A60" t="s">
        <v>12</v>
      </c>
      <c r="B60" t="s">
        <v>19</v>
      </c>
      <c r="C60" s="7">
        <v>45291</v>
      </c>
      <c r="D60" s="8">
        <v>59040690523.790398</v>
      </c>
      <c r="E60" s="8">
        <v>196165876816.20001</v>
      </c>
      <c r="F60" s="9">
        <v>71.331273184640295</v>
      </c>
      <c r="G60" s="8">
        <v>-8283169606.9456501</v>
      </c>
      <c r="H60" s="10">
        <v>4325.9549999999999</v>
      </c>
      <c r="I60" s="9">
        <f t="shared" si="0"/>
        <v>1.6390425483798987E-2</v>
      </c>
      <c r="J60" s="4"/>
      <c r="K60" t="s">
        <v>14</v>
      </c>
    </row>
    <row r="61" spans="1:11" x14ac:dyDescent="0.2">
      <c r="A61" t="s">
        <v>12</v>
      </c>
      <c r="B61" t="s">
        <v>19</v>
      </c>
      <c r="C61" s="7">
        <v>45657</v>
      </c>
      <c r="D61" s="8">
        <v>61897968642.424004</v>
      </c>
      <c r="E61" s="8">
        <v>201763641280.39999</v>
      </c>
      <c r="F61" s="9">
        <v>71.483126167997</v>
      </c>
      <c r="G61" s="8">
        <v>-6880114730.7340498</v>
      </c>
      <c r="H61" s="10">
        <v>4074.4341666666701</v>
      </c>
      <c r="I61" s="9">
        <f t="shared" si="0"/>
        <v>-5.8142267622601218E-2</v>
      </c>
      <c r="J61" s="4"/>
      <c r="K61" t="s">
        <v>14</v>
      </c>
    </row>
    <row r="62" spans="1:11" x14ac:dyDescent="0.2">
      <c r="A62" t="s">
        <v>12</v>
      </c>
      <c r="B62" t="s">
        <v>20</v>
      </c>
      <c r="C62" s="7">
        <v>40543</v>
      </c>
      <c r="D62" s="8">
        <v>3874458746.77531</v>
      </c>
      <c r="E62" s="8">
        <v>13498619112.4</v>
      </c>
      <c r="F62" s="9"/>
      <c r="G62" s="8">
        <v>-4023500000</v>
      </c>
      <c r="H62" s="10">
        <v>36.821291867081499</v>
      </c>
      <c r="I62" s="9" t="str">
        <f t="shared" si="0"/>
        <v/>
      </c>
      <c r="J62" s="4"/>
      <c r="K62" t="s">
        <v>14</v>
      </c>
    </row>
    <row r="63" spans="1:11" x14ac:dyDescent="0.2">
      <c r="A63" t="s">
        <v>12</v>
      </c>
      <c r="B63" t="s">
        <v>20</v>
      </c>
      <c r="C63" s="7">
        <v>40908</v>
      </c>
      <c r="D63" s="8">
        <v>4114429337.3528299</v>
      </c>
      <c r="E63" s="8">
        <v>15097329632.200001</v>
      </c>
      <c r="F63" s="9"/>
      <c r="G63" s="8">
        <v>-4358700000</v>
      </c>
      <c r="H63" s="10">
        <v>38.087584866809898</v>
      </c>
      <c r="I63" s="9">
        <f t="shared" si="0"/>
        <v>3.4390238243120264E-2</v>
      </c>
      <c r="J63" s="4"/>
      <c r="K63" t="s">
        <v>14</v>
      </c>
    </row>
    <row r="64" spans="1:11" x14ac:dyDescent="0.2">
      <c r="A64" t="s">
        <v>12</v>
      </c>
      <c r="B64" t="s">
        <v>20</v>
      </c>
      <c r="C64" s="7">
        <v>41274</v>
      </c>
      <c r="D64" s="8">
        <v>3558641726.4141202</v>
      </c>
      <c r="E64" s="8">
        <v>22101544978.200001</v>
      </c>
      <c r="F64" s="9"/>
      <c r="G64" s="8">
        <v>-3970570000</v>
      </c>
      <c r="H64" s="10">
        <v>39.320300843225802</v>
      </c>
      <c r="I64" s="9">
        <f t="shared" si="0"/>
        <v>3.2365296479853978E-2</v>
      </c>
      <c r="J64" s="4"/>
      <c r="K64" t="s">
        <v>14</v>
      </c>
    </row>
    <row r="65" spans="1:11" x14ac:dyDescent="0.2">
      <c r="A65" t="s">
        <v>12</v>
      </c>
      <c r="B65" t="s">
        <v>20</v>
      </c>
      <c r="C65" s="7">
        <v>41639</v>
      </c>
      <c r="D65" s="8">
        <v>4700626508.0179195</v>
      </c>
      <c r="E65" s="8">
        <v>23957826085.200001</v>
      </c>
      <c r="F65" s="9"/>
      <c r="G65" s="8">
        <v>-2567900000</v>
      </c>
      <c r="H65" s="10">
        <v>41.794503425229799</v>
      </c>
      <c r="I65" s="9">
        <f t="shared" si="0"/>
        <v>6.2924304467275149E-2</v>
      </c>
      <c r="J65" s="4"/>
      <c r="K65" t="s">
        <v>14</v>
      </c>
    </row>
    <row r="66" spans="1:11" x14ac:dyDescent="0.2">
      <c r="A66" t="s">
        <v>12</v>
      </c>
      <c r="B66" t="s">
        <v>20</v>
      </c>
      <c r="C66" s="7">
        <v>42004</v>
      </c>
      <c r="D66" s="8">
        <v>4861785571.8880901</v>
      </c>
      <c r="E66" s="8">
        <v>26269413480.299999</v>
      </c>
      <c r="F66" s="9"/>
      <c r="G66" s="8">
        <v>-2170199999.99999</v>
      </c>
      <c r="H66" s="10">
        <v>43.549672619047598</v>
      </c>
      <c r="I66" s="9">
        <f t="shared" si="0"/>
        <v>4.1995215877077996E-2</v>
      </c>
      <c r="J66" s="4"/>
      <c r="K66" t="s">
        <v>14</v>
      </c>
    </row>
    <row r="67" spans="1:11" x14ac:dyDescent="0.2">
      <c r="A67" t="s">
        <v>12</v>
      </c>
      <c r="B67" t="s">
        <v>20</v>
      </c>
      <c r="C67" s="7">
        <v>42369</v>
      </c>
      <c r="D67" s="8">
        <v>5266043354.25313</v>
      </c>
      <c r="E67" s="8">
        <v>26727445939.700001</v>
      </c>
      <c r="F67" s="9"/>
      <c r="G67" s="8">
        <v>-1280300000</v>
      </c>
      <c r="H67" s="10">
        <v>45.045499074074101</v>
      </c>
      <c r="I67" s="9">
        <f t="shared" ref="I67:I130" si="1">IF(B67=B66,IFERROR(H67/H66-1,""),"")</f>
        <v>3.4347593565428269E-2</v>
      </c>
      <c r="J67" s="4"/>
      <c r="K67" t="s">
        <v>14</v>
      </c>
    </row>
    <row r="68" spans="1:11" x14ac:dyDescent="0.2">
      <c r="A68" t="s">
        <v>12</v>
      </c>
      <c r="B68" t="s">
        <v>20</v>
      </c>
      <c r="C68" s="7">
        <v>42735</v>
      </c>
      <c r="D68" s="8">
        <v>6134227406.7506199</v>
      </c>
      <c r="E68" s="8">
        <v>28291425524.5</v>
      </c>
      <c r="F68" s="9"/>
      <c r="G68" s="8">
        <v>-814700000.00000203</v>
      </c>
      <c r="H68" s="10">
        <v>46.064443939393897</v>
      </c>
      <c r="I68" s="9">
        <f t="shared" si="1"/>
        <v>2.2620348009558366E-2</v>
      </c>
      <c r="J68" s="4"/>
      <c r="K68" t="s">
        <v>14</v>
      </c>
    </row>
    <row r="69" spans="1:11" x14ac:dyDescent="0.2">
      <c r="A69" t="s">
        <v>12</v>
      </c>
      <c r="B69" t="s">
        <v>20</v>
      </c>
      <c r="C69" s="7">
        <v>43100</v>
      </c>
      <c r="D69" s="8">
        <v>6872905749.3028498</v>
      </c>
      <c r="E69" s="8">
        <v>29455812951.599998</v>
      </c>
      <c r="F69" s="9"/>
      <c r="G69" s="8">
        <v>-133099999.999998</v>
      </c>
      <c r="H69" s="10">
        <v>47.534358196248199</v>
      </c>
      <c r="I69" s="9">
        <f t="shared" si="1"/>
        <v>3.1909953342500685E-2</v>
      </c>
      <c r="J69" s="4"/>
      <c r="K69" t="s">
        <v>14</v>
      </c>
    </row>
    <row r="70" spans="1:11" x14ac:dyDescent="0.2">
      <c r="A70" t="s">
        <v>12</v>
      </c>
      <c r="B70" t="s">
        <v>20</v>
      </c>
      <c r="C70" s="7">
        <v>43465</v>
      </c>
      <c r="D70" s="8">
        <v>7717561574.1843004</v>
      </c>
      <c r="E70" s="8">
        <v>31864082651.900002</v>
      </c>
      <c r="F70" s="9"/>
      <c r="G70" s="8">
        <v>-1321500000</v>
      </c>
      <c r="H70" s="10">
        <v>49.509992857142898</v>
      </c>
      <c r="I70" s="9">
        <f t="shared" si="1"/>
        <v>4.1562245412848142E-2</v>
      </c>
      <c r="J70" s="4"/>
      <c r="K70" t="s">
        <v>14</v>
      </c>
    </row>
    <row r="71" spans="1:11" x14ac:dyDescent="0.2">
      <c r="A71" t="s">
        <v>12</v>
      </c>
      <c r="B71" t="s">
        <v>20</v>
      </c>
      <c r="C71" s="7">
        <v>43830</v>
      </c>
      <c r="D71" s="8">
        <v>8870942286.3598194</v>
      </c>
      <c r="E71" s="8">
        <v>35095621459.099998</v>
      </c>
      <c r="F71" s="9"/>
      <c r="G71" s="8">
        <v>-1187900000</v>
      </c>
      <c r="H71" s="10">
        <v>51.294858333333302</v>
      </c>
      <c r="I71" s="9">
        <f t="shared" si="1"/>
        <v>3.6050610658347138E-2</v>
      </c>
      <c r="J71" s="4"/>
      <c r="K71" t="s">
        <v>14</v>
      </c>
    </row>
    <row r="72" spans="1:11" x14ac:dyDescent="0.2">
      <c r="A72" t="s">
        <v>12</v>
      </c>
      <c r="B72" t="s">
        <v>20</v>
      </c>
      <c r="C72" s="7">
        <v>44196</v>
      </c>
      <c r="D72" s="8">
        <v>10844812012.4981</v>
      </c>
      <c r="E72" s="8">
        <v>40559732187</v>
      </c>
      <c r="F72" s="9"/>
      <c r="G72" s="8">
        <v>-1329200000</v>
      </c>
      <c r="H72" s="10">
        <v>56.524533333333402</v>
      </c>
      <c r="I72" s="9">
        <f t="shared" si="1"/>
        <v>0.10195320096247662</v>
      </c>
      <c r="J72" s="4"/>
      <c r="K72" t="s">
        <v>14</v>
      </c>
    </row>
    <row r="73" spans="1:11" x14ac:dyDescent="0.2">
      <c r="A73" t="s">
        <v>12</v>
      </c>
      <c r="B73" t="s">
        <v>20</v>
      </c>
      <c r="C73" s="7">
        <v>44561</v>
      </c>
      <c r="D73" s="8">
        <v>13124643488.9252</v>
      </c>
      <c r="E73" s="8">
        <v>43884654717.699997</v>
      </c>
      <c r="F73" s="9"/>
      <c r="G73" s="8">
        <v>-2685299999.99999</v>
      </c>
      <c r="H73" s="10">
        <v>57.221116666666703</v>
      </c>
      <c r="I73" s="9">
        <f t="shared" si="1"/>
        <v>1.2323557440544475E-2</v>
      </c>
      <c r="J73" s="4"/>
      <c r="K73" t="s">
        <v>14</v>
      </c>
    </row>
    <row r="74" spans="1:11" x14ac:dyDescent="0.2">
      <c r="A74" t="s">
        <v>12</v>
      </c>
      <c r="B74" t="s">
        <v>20</v>
      </c>
      <c r="C74" s="7">
        <v>44926</v>
      </c>
      <c r="D74" s="8">
        <v>14522975012.3239</v>
      </c>
      <c r="E74" s="8">
        <v>48289508484.199997</v>
      </c>
      <c r="F74" s="9"/>
      <c r="G74" s="8">
        <v>-6548900000</v>
      </c>
      <c r="H74" s="10">
        <v>55.1409916666667</v>
      </c>
      <c r="I74" s="9">
        <f t="shared" si="1"/>
        <v>-3.6352401371638199E-2</v>
      </c>
      <c r="J74" s="4"/>
      <c r="K74" t="s">
        <v>14</v>
      </c>
    </row>
    <row r="75" spans="1:11" x14ac:dyDescent="0.2">
      <c r="A75" t="s">
        <v>12</v>
      </c>
      <c r="B75" t="s">
        <v>20</v>
      </c>
      <c r="C75" s="7">
        <v>45291</v>
      </c>
      <c r="D75" s="8">
        <v>15546714438.2444</v>
      </c>
      <c r="E75" s="8">
        <v>52188404942.599998</v>
      </c>
      <c r="F75" s="9"/>
      <c r="G75" s="8">
        <v>-4418400000</v>
      </c>
      <c r="H75" s="10">
        <v>56.157600000000002</v>
      </c>
      <c r="I75" s="9">
        <f t="shared" si="1"/>
        <v>1.8436526123411179E-2</v>
      </c>
      <c r="J75" s="4"/>
      <c r="K75" t="s">
        <v>14</v>
      </c>
    </row>
    <row r="76" spans="1:11" x14ac:dyDescent="0.2">
      <c r="A76" t="s">
        <v>12</v>
      </c>
      <c r="B76" t="s">
        <v>20</v>
      </c>
      <c r="C76" s="7">
        <v>45657</v>
      </c>
      <c r="D76" s="8">
        <v>13471257812.867901</v>
      </c>
      <c r="E76" s="8">
        <v>53293949023.300003</v>
      </c>
      <c r="F76" s="9"/>
      <c r="G76" s="8">
        <v>-4167200000</v>
      </c>
      <c r="H76" s="10">
        <v>59.5651333333333</v>
      </c>
      <c r="I76" s="9">
        <f t="shared" si="1"/>
        <v>6.0678044170927814E-2</v>
      </c>
      <c r="J76" s="4"/>
      <c r="K76" t="s">
        <v>14</v>
      </c>
    </row>
    <row r="77" spans="1:11" x14ac:dyDescent="0.2">
      <c r="A77" t="s">
        <v>12</v>
      </c>
      <c r="B77" t="s">
        <v>21</v>
      </c>
      <c r="C77" s="7">
        <v>40543</v>
      </c>
      <c r="D77" s="8">
        <v>37028506134.555901</v>
      </c>
      <c r="E77" s="8">
        <v>36803931990.099998</v>
      </c>
      <c r="F77" s="9"/>
      <c r="G77" s="8">
        <v>-4503800000</v>
      </c>
      <c r="H77" s="10">
        <v>5.62194291761051</v>
      </c>
      <c r="I77" s="9" t="str">
        <f t="shared" si="1"/>
        <v/>
      </c>
      <c r="J77" s="4"/>
      <c r="K77" t="s">
        <v>14</v>
      </c>
    </row>
    <row r="78" spans="1:11" x14ac:dyDescent="0.2">
      <c r="A78" t="s">
        <v>12</v>
      </c>
      <c r="B78" t="s">
        <v>21</v>
      </c>
      <c r="C78" s="7">
        <v>40908</v>
      </c>
      <c r="D78" s="8">
        <v>18637541110.477699</v>
      </c>
      <c r="E78" s="8">
        <v>35208762810.599998</v>
      </c>
      <c r="F78" s="9"/>
      <c r="G78" s="8">
        <v>-5483900000</v>
      </c>
      <c r="H78" s="10">
        <v>5.9328276515151499</v>
      </c>
      <c r="I78" s="9">
        <f t="shared" si="1"/>
        <v>5.529845081329543E-2</v>
      </c>
      <c r="J78" s="4"/>
      <c r="K78" t="s">
        <v>14</v>
      </c>
    </row>
    <row r="79" spans="1:11" x14ac:dyDescent="0.2">
      <c r="A79" t="s">
        <v>12</v>
      </c>
      <c r="B79" t="s">
        <v>21</v>
      </c>
      <c r="C79" s="7">
        <v>41274</v>
      </c>
      <c r="D79" s="8">
        <v>15672467970.7728</v>
      </c>
      <c r="E79" s="8">
        <v>40061753451.800003</v>
      </c>
      <c r="F79" s="9"/>
      <c r="G79" s="8">
        <v>-6972000000</v>
      </c>
      <c r="H79" s="10">
        <v>6.05605833333333</v>
      </c>
      <c r="I79" s="9">
        <f t="shared" si="1"/>
        <v>2.0770986291285487E-2</v>
      </c>
      <c r="J79" s="4"/>
      <c r="K79" t="s">
        <v>14</v>
      </c>
    </row>
    <row r="80" spans="1:11" x14ac:dyDescent="0.2">
      <c r="A80" t="s">
        <v>12</v>
      </c>
      <c r="B80" t="s">
        <v>21</v>
      </c>
      <c r="C80" s="7">
        <v>41639</v>
      </c>
      <c r="D80" s="8">
        <v>16536236826.4074</v>
      </c>
      <c r="E80" s="8">
        <v>46534987114.900002</v>
      </c>
      <c r="F80" s="9"/>
      <c r="G80" s="8">
        <v>-3533700000</v>
      </c>
      <c r="H80" s="10">
        <v>6.8703250000000002</v>
      </c>
      <c r="I80" s="9">
        <f t="shared" si="1"/>
        <v>0.13445489158927693</v>
      </c>
      <c r="J80" s="4"/>
      <c r="K80" t="s">
        <v>14</v>
      </c>
    </row>
    <row r="81" spans="1:12" x14ac:dyDescent="0.2">
      <c r="A81" t="s">
        <v>12</v>
      </c>
      <c r="B81" t="s">
        <v>21</v>
      </c>
      <c r="C81" s="7">
        <v>42004</v>
      </c>
      <c r="D81" s="8">
        <v>14926998051.7397</v>
      </c>
      <c r="E81" s="8">
        <v>41772774970.900002</v>
      </c>
      <c r="F81" s="9"/>
      <c r="G81" s="8">
        <v>-5954500000</v>
      </c>
      <c r="H81" s="10">
        <v>7.0776085606060599</v>
      </c>
      <c r="I81" s="9">
        <f t="shared" si="1"/>
        <v>3.0170852267696224E-2</v>
      </c>
      <c r="J81" s="4"/>
      <c r="K81" t="s">
        <v>14</v>
      </c>
    </row>
    <row r="82" spans="1:12" x14ac:dyDescent="0.2">
      <c r="A82" t="s">
        <v>12</v>
      </c>
      <c r="B82" t="s">
        <v>21</v>
      </c>
      <c r="C82" s="7">
        <v>42369</v>
      </c>
      <c r="D82" s="8">
        <v>15858887325.7756</v>
      </c>
      <c r="E82" s="8">
        <v>49873938935.599998</v>
      </c>
      <c r="F82" s="9"/>
      <c r="G82" s="8">
        <v>-17243300000</v>
      </c>
      <c r="H82" s="10">
        <v>7.69125833333334</v>
      </c>
      <c r="I82" s="9">
        <f t="shared" si="1"/>
        <v>8.6702982719735644E-2</v>
      </c>
      <c r="J82" s="4"/>
      <c r="K82" t="s">
        <v>14</v>
      </c>
    </row>
    <row r="83" spans="1:12" x14ac:dyDescent="0.2">
      <c r="A83" t="s">
        <v>12</v>
      </c>
      <c r="B83" t="s">
        <v>21</v>
      </c>
      <c r="C83" s="7">
        <v>42735</v>
      </c>
      <c r="D83" s="8">
        <v>23642691705.9678</v>
      </c>
      <c r="E83" s="8">
        <v>69188517055.199997</v>
      </c>
      <c r="F83" s="9"/>
      <c r="G83" s="8">
        <v>-20493900000</v>
      </c>
      <c r="H83" s="10">
        <v>10.0254007885465</v>
      </c>
      <c r="I83" s="9">
        <f t="shared" si="1"/>
        <v>0.30347991889664683</v>
      </c>
      <c r="J83" s="4"/>
      <c r="K83" t="s">
        <v>14</v>
      </c>
    </row>
    <row r="84" spans="1:12" x14ac:dyDescent="0.2">
      <c r="A84" t="s">
        <v>12</v>
      </c>
      <c r="B84" t="s">
        <v>21</v>
      </c>
      <c r="C84" s="7">
        <v>43100</v>
      </c>
      <c r="D84" s="8">
        <v>36400242555.8255</v>
      </c>
      <c r="E84" s="8">
        <v>84587108845.300003</v>
      </c>
      <c r="F84" s="9"/>
      <c r="G84" s="8">
        <v>-7939700000</v>
      </c>
      <c r="H84" s="10">
        <v>17.782533515063601</v>
      </c>
      <c r="I84" s="9">
        <f t="shared" si="1"/>
        <v>0.7737478919924301</v>
      </c>
      <c r="J84" s="4"/>
      <c r="K84" t="s">
        <v>14</v>
      </c>
    </row>
    <row r="85" spans="1:12" x14ac:dyDescent="0.2">
      <c r="A85" t="s">
        <v>12</v>
      </c>
      <c r="B85" t="s">
        <v>21</v>
      </c>
      <c r="C85" s="7">
        <v>43465</v>
      </c>
      <c r="D85" s="8">
        <v>41839242990.709702</v>
      </c>
      <c r="E85" s="8">
        <v>99457163486.300003</v>
      </c>
      <c r="F85" s="9"/>
      <c r="G85" s="8">
        <v>-7698166088.3333197</v>
      </c>
      <c r="H85" s="10">
        <v>17.767290421810699</v>
      </c>
      <c r="I85" s="9">
        <f t="shared" si="1"/>
        <v>-8.5719468713441049E-4</v>
      </c>
      <c r="J85" s="4"/>
      <c r="K85" t="s">
        <v>14</v>
      </c>
    </row>
    <row r="86" spans="1:12" x14ac:dyDescent="0.2">
      <c r="A86" t="s">
        <v>12</v>
      </c>
      <c r="B86" t="s">
        <v>21</v>
      </c>
      <c r="C86" s="7">
        <v>43830</v>
      </c>
      <c r="D86" s="8">
        <v>44568837112.066902</v>
      </c>
      <c r="E86" s="8">
        <v>114910260649.89999</v>
      </c>
      <c r="F86" s="9"/>
      <c r="G86" s="8">
        <v>-10221895259.0833</v>
      </c>
      <c r="H86" s="10">
        <v>16.7705818428763</v>
      </c>
      <c r="I86" s="9">
        <f t="shared" si="1"/>
        <v>-5.6097950518716355E-2</v>
      </c>
      <c r="J86" s="4"/>
      <c r="K86" t="s">
        <v>14</v>
      </c>
    </row>
    <row r="87" spans="1:12" x14ac:dyDescent="0.2">
      <c r="A87" t="s">
        <v>12</v>
      </c>
      <c r="B87" t="s">
        <v>21</v>
      </c>
      <c r="C87" s="7">
        <v>44196</v>
      </c>
      <c r="D87" s="8">
        <v>38972812936.670799</v>
      </c>
      <c r="E87" s="8">
        <v>132538717154</v>
      </c>
      <c r="F87" s="9"/>
      <c r="G87" s="8">
        <v>-14235956908.691601</v>
      </c>
      <c r="H87" s="10">
        <v>15.759172916666699</v>
      </c>
      <c r="I87" s="9">
        <f t="shared" si="1"/>
        <v>-6.0308517360071257E-2</v>
      </c>
      <c r="J87" s="4"/>
      <c r="K87" t="s">
        <v>14</v>
      </c>
    </row>
    <row r="88" spans="1:12" x14ac:dyDescent="0.2">
      <c r="A88" t="s">
        <v>12</v>
      </c>
      <c r="B88" t="s">
        <v>21</v>
      </c>
      <c r="C88" s="7">
        <v>44561</v>
      </c>
      <c r="D88" s="8">
        <v>39824388217.361504</v>
      </c>
      <c r="E88" s="8">
        <v>145998330659.89999</v>
      </c>
      <c r="F88" s="9"/>
      <c r="G88" s="8">
        <v>-18610828181.499901</v>
      </c>
      <c r="H88" s="10">
        <v>15.644527277711299</v>
      </c>
      <c r="I88" s="9">
        <f t="shared" si="1"/>
        <v>-7.274851260382631E-3</v>
      </c>
      <c r="J88" s="4"/>
      <c r="K88" t="s">
        <v>14</v>
      </c>
    </row>
    <row r="89" spans="1:12" x14ac:dyDescent="0.2">
      <c r="A89" t="s">
        <v>12</v>
      </c>
      <c r="B89" t="s">
        <v>21</v>
      </c>
      <c r="C89" s="7">
        <v>44926</v>
      </c>
      <c r="D89" s="8">
        <v>32143926008.460701</v>
      </c>
      <c r="E89" s="8">
        <v>163111452414.10001</v>
      </c>
      <c r="F89" s="9"/>
      <c r="G89" s="8">
        <v>-10536555731.200001</v>
      </c>
      <c r="H89" s="10">
        <v>19.160439741220401</v>
      </c>
      <c r="I89" s="9">
        <f t="shared" si="1"/>
        <v>0.22473753288271037</v>
      </c>
      <c r="J89" s="4"/>
      <c r="K89" t="s">
        <v>15</v>
      </c>
      <c r="L89" t="s">
        <v>16</v>
      </c>
    </row>
    <row r="90" spans="1:12" x14ac:dyDescent="0.2">
      <c r="A90" t="s">
        <v>12</v>
      </c>
      <c r="B90" t="s">
        <v>21</v>
      </c>
      <c r="C90" s="7">
        <v>45291</v>
      </c>
      <c r="D90" s="8">
        <v>33070180836.137402</v>
      </c>
      <c r="E90" s="8">
        <v>168182236339.60001</v>
      </c>
      <c r="F90" s="9"/>
      <c r="G90" s="8">
        <v>-12564268977.383301</v>
      </c>
      <c r="H90" s="10">
        <v>30.626413698031101</v>
      </c>
      <c r="I90" s="9">
        <f t="shared" si="1"/>
        <v>0.5984191444282787</v>
      </c>
      <c r="J90" s="4"/>
      <c r="K90" t="s">
        <v>15</v>
      </c>
      <c r="L90" t="s">
        <v>16</v>
      </c>
    </row>
    <row r="91" spans="1:12" x14ac:dyDescent="0.2">
      <c r="A91" t="s">
        <v>12</v>
      </c>
      <c r="B91" t="s">
        <v>21</v>
      </c>
      <c r="C91" s="7">
        <v>45657</v>
      </c>
      <c r="D91" s="8">
        <v>44921341018.465897</v>
      </c>
      <c r="E91" s="8">
        <v>155972716013.20001</v>
      </c>
      <c r="F91" s="9"/>
      <c r="G91" s="8">
        <v>-22256099999.999901</v>
      </c>
      <c r="H91" s="10">
        <v>45.299259999999997</v>
      </c>
      <c r="I91" s="9">
        <f t="shared" si="1"/>
        <v>0.47909123303301349</v>
      </c>
      <c r="J91" s="4"/>
      <c r="K91" t="s">
        <v>15</v>
      </c>
      <c r="L91" t="s">
        <v>16</v>
      </c>
    </row>
    <row r="92" spans="1:12" x14ac:dyDescent="0.2">
      <c r="A92" t="s">
        <v>12</v>
      </c>
      <c r="B92" t="s">
        <v>22</v>
      </c>
      <c r="C92" s="7">
        <v>40543</v>
      </c>
      <c r="D92" s="8">
        <v>5158151628.8454704</v>
      </c>
      <c r="E92" s="8">
        <v>17984659771.299999</v>
      </c>
      <c r="F92" s="9"/>
      <c r="G92" s="8">
        <v>-2747340000</v>
      </c>
      <c r="H92" s="10">
        <v>1.4299833333333301</v>
      </c>
      <c r="I92" s="9" t="str">
        <f t="shared" si="1"/>
        <v/>
      </c>
      <c r="J92" s="4"/>
      <c r="K92" t="s">
        <v>14</v>
      </c>
    </row>
    <row r="93" spans="1:12" x14ac:dyDescent="0.2">
      <c r="A93" t="s">
        <v>12</v>
      </c>
      <c r="B93" t="s">
        <v>22</v>
      </c>
      <c r="C93" s="7">
        <v>40908</v>
      </c>
      <c r="D93" s="8">
        <v>5913600037.2424803</v>
      </c>
      <c r="E93" s="8">
        <v>21317880741.900002</v>
      </c>
      <c r="F93" s="9"/>
      <c r="G93" s="8">
        <v>-3541315695.2522898</v>
      </c>
      <c r="H93" s="10">
        <v>1.5206249999999999</v>
      </c>
      <c r="I93" s="9">
        <f t="shared" si="1"/>
        <v>6.3386519656408513E-2</v>
      </c>
      <c r="J93" s="4"/>
      <c r="K93" t="s">
        <v>14</v>
      </c>
    </row>
    <row r="94" spans="1:12" x14ac:dyDescent="0.2">
      <c r="A94" t="s">
        <v>12</v>
      </c>
      <c r="B94" t="s">
        <v>22</v>
      </c>
      <c r="C94" s="7">
        <v>41274</v>
      </c>
      <c r="D94" s="8">
        <v>5835098328.20187</v>
      </c>
      <c r="E94" s="8">
        <v>23151628039.400002</v>
      </c>
      <c r="F94" s="9"/>
      <c r="G94" s="8">
        <v>-4911713679.0745497</v>
      </c>
      <c r="H94" s="10">
        <v>1.82486666666667</v>
      </c>
      <c r="I94" s="9">
        <f t="shared" si="1"/>
        <v>0.20007672283874722</v>
      </c>
      <c r="J94" s="4"/>
      <c r="K94" t="s">
        <v>14</v>
      </c>
    </row>
    <row r="95" spans="1:12" x14ac:dyDescent="0.2">
      <c r="A95" t="s">
        <v>12</v>
      </c>
      <c r="B95" t="s">
        <v>22</v>
      </c>
      <c r="C95" s="7">
        <v>41639</v>
      </c>
      <c r="D95" s="8">
        <v>5587739126.3868999</v>
      </c>
      <c r="E95" s="8">
        <v>28508533533.299999</v>
      </c>
      <c r="F95" s="9"/>
      <c r="G95" s="8">
        <v>-5704034549.6667404</v>
      </c>
      <c r="H95" s="10">
        <v>1.9813499999999999</v>
      </c>
      <c r="I95" s="9">
        <f t="shared" si="1"/>
        <v>8.5750557118326354E-2</v>
      </c>
      <c r="J95" s="4"/>
      <c r="K95" t="s">
        <v>14</v>
      </c>
    </row>
    <row r="96" spans="1:12" x14ac:dyDescent="0.2">
      <c r="A96" t="s">
        <v>12</v>
      </c>
      <c r="B96" t="s">
        <v>22</v>
      </c>
      <c r="C96" s="7">
        <v>42004</v>
      </c>
      <c r="D96" s="8">
        <v>5563709271.1955204</v>
      </c>
      <c r="E96" s="8">
        <v>28517251145.900002</v>
      </c>
      <c r="F96" s="9"/>
      <c r="G96" s="8">
        <v>-3694575338.2776198</v>
      </c>
      <c r="H96" s="10">
        <v>2.8965749999999999</v>
      </c>
      <c r="I96" s="9">
        <f t="shared" si="1"/>
        <v>0.46191990309637365</v>
      </c>
      <c r="J96" s="4"/>
      <c r="K96" t="s">
        <v>14</v>
      </c>
    </row>
    <row r="97" spans="1:12" x14ac:dyDescent="0.2">
      <c r="A97" t="s">
        <v>12</v>
      </c>
      <c r="B97" t="s">
        <v>22</v>
      </c>
      <c r="C97" s="7">
        <v>42369</v>
      </c>
      <c r="D97" s="8">
        <v>5742645886.29529</v>
      </c>
      <c r="E97" s="8">
        <v>31306595150.799999</v>
      </c>
      <c r="F97" s="9"/>
      <c r="G97" s="8">
        <v>-2823640338.0802302</v>
      </c>
      <c r="H97" s="10">
        <v>3.7146416666666702</v>
      </c>
      <c r="I97" s="9">
        <f t="shared" si="1"/>
        <v>0.28242550828708746</v>
      </c>
      <c r="J97" s="4"/>
      <c r="K97" t="s">
        <v>14</v>
      </c>
    </row>
    <row r="98" spans="1:12" x14ac:dyDescent="0.2">
      <c r="A98" t="s">
        <v>12</v>
      </c>
      <c r="B98" t="s">
        <v>22</v>
      </c>
      <c r="C98" s="7">
        <v>42735</v>
      </c>
      <c r="D98" s="8">
        <v>5866729596.16504</v>
      </c>
      <c r="E98" s="8">
        <v>34860777089.699997</v>
      </c>
      <c r="F98" s="9"/>
      <c r="G98" s="8">
        <v>-2832047270.6197901</v>
      </c>
      <c r="H98" s="10">
        <v>3.90981666666667</v>
      </c>
      <c r="I98" s="9">
        <f t="shared" si="1"/>
        <v>5.2542080101938948E-2</v>
      </c>
      <c r="J98" s="4"/>
      <c r="K98" t="s">
        <v>14</v>
      </c>
    </row>
    <row r="99" spans="1:12" x14ac:dyDescent="0.2">
      <c r="A99" t="s">
        <v>12</v>
      </c>
      <c r="B99" t="s">
        <v>22</v>
      </c>
      <c r="C99" s="7">
        <v>43100</v>
      </c>
      <c r="D99" s="8">
        <v>7015187159.6498699</v>
      </c>
      <c r="E99" s="8">
        <v>33725981614.599998</v>
      </c>
      <c r="F99" s="9"/>
      <c r="G99" s="8">
        <v>-2002639999.99999</v>
      </c>
      <c r="H99" s="10">
        <v>4.3505333333333303</v>
      </c>
      <c r="I99" s="9">
        <f t="shared" si="1"/>
        <v>0.11272054529410847</v>
      </c>
      <c r="J99" s="4"/>
      <c r="K99" t="s">
        <v>14</v>
      </c>
    </row>
    <row r="100" spans="1:12" x14ac:dyDescent="0.2">
      <c r="A100" t="s">
        <v>12</v>
      </c>
      <c r="B100" t="s">
        <v>22</v>
      </c>
      <c r="C100" s="7">
        <v>43465</v>
      </c>
      <c r="D100" s="8">
        <v>6294851564.0272503</v>
      </c>
      <c r="E100" s="8">
        <v>35100516069.099998</v>
      </c>
      <c r="F100" s="9"/>
      <c r="G100" s="8">
        <v>-2044594252.86236</v>
      </c>
      <c r="H100" s="10">
        <v>4.5853250000000001</v>
      </c>
      <c r="I100" s="9">
        <f t="shared" si="1"/>
        <v>5.3968478960434663E-2</v>
      </c>
      <c r="J100" s="4"/>
      <c r="K100" t="s">
        <v>14</v>
      </c>
    </row>
    <row r="101" spans="1:12" x14ac:dyDescent="0.2">
      <c r="A101" t="s">
        <v>12</v>
      </c>
      <c r="B101" t="s">
        <v>22</v>
      </c>
      <c r="C101" s="7">
        <v>43830</v>
      </c>
      <c r="D101" s="8">
        <v>7563210340.92838</v>
      </c>
      <c r="E101" s="8">
        <v>32685329069.799999</v>
      </c>
      <c r="F101" s="9"/>
      <c r="G101" s="8">
        <v>-1863971933.0669899</v>
      </c>
      <c r="H101" s="10">
        <v>5.2173666666666696</v>
      </c>
      <c r="I101" s="9">
        <f t="shared" si="1"/>
        <v>0.13784010221013121</v>
      </c>
      <c r="J101" s="4"/>
      <c r="K101" t="s">
        <v>14</v>
      </c>
    </row>
    <row r="102" spans="1:12" x14ac:dyDescent="0.2">
      <c r="A102" t="s">
        <v>12</v>
      </c>
      <c r="B102" t="s">
        <v>22</v>
      </c>
      <c r="C102" s="7">
        <v>44196</v>
      </c>
      <c r="D102" s="8">
        <v>7884091538.7072697</v>
      </c>
      <c r="E102" s="8">
        <v>40295305085.599998</v>
      </c>
      <c r="F102" s="9"/>
      <c r="G102" s="8">
        <v>-2133965479.92186</v>
      </c>
      <c r="H102" s="10">
        <v>5.59570833333333</v>
      </c>
      <c r="I102" s="9">
        <f t="shared" si="1"/>
        <v>7.2515828546966921E-2</v>
      </c>
      <c r="J102" s="4"/>
      <c r="K102" t="s">
        <v>14</v>
      </c>
    </row>
    <row r="103" spans="1:12" x14ac:dyDescent="0.2">
      <c r="A103" t="s">
        <v>12</v>
      </c>
      <c r="B103" t="s">
        <v>22</v>
      </c>
      <c r="C103" s="7">
        <v>44561</v>
      </c>
      <c r="D103" s="8">
        <v>9916916899.6778107</v>
      </c>
      <c r="E103" s="8">
        <v>46584318739.800003</v>
      </c>
      <c r="F103" s="9"/>
      <c r="G103" s="8">
        <v>-2242743796.9495301</v>
      </c>
      <c r="H103" s="10">
        <v>5.8056999999999999</v>
      </c>
      <c r="I103" s="9">
        <f t="shared" si="1"/>
        <v>3.7527271644192117E-2</v>
      </c>
      <c r="J103" s="4"/>
      <c r="K103" t="s">
        <v>14</v>
      </c>
    </row>
    <row r="104" spans="1:12" x14ac:dyDescent="0.2">
      <c r="A104" t="s">
        <v>12</v>
      </c>
      <c r="B104" t="s">
        <v>22</v>
      </c>
      <c r="C104" s="7">
        <v>44926</v>
      </c>
      <c r="D104" s="8">
        <v>5205457212.2779999</v>
      </c>
      <c r="E104" s="8">
        <v>43607006146.099998</v>
      </c>
      <c r="F104" s="9"/>
      <c r="G104" s="8">
        <v>-1723247736.6387899</v>
      </c>
      <c r="H104" s="10">
        <v>8.2723999999999993</v>
      </c>
      <c r="I104" s="9">
        <f t="shared" si="1"/>
        <v>0.42487555333551508</v>
      </c>
      <c r="J104" s="4"/>
      <c r="K104" t="s">
        <v>14</v>
      </c>
    </row>
    <row r="105" spans="1:12" x14ac:dyDescent="0.2">
      <c r="A105" t="s">
        <v>12</v>
      </c>
      <c r="B105" t="s">
        <v>22</v>
      </c>
      <c r="C105" s="7">
        <v>45291</v>
      </c>
      <c r="D105" s="8">
        <v>3623904994.5870199</v>
      </c>
      <c r="E105" s="8">
        <v>41700706280.400002</v>
      </c>
      <c r="F105" s="9"/>
      <c r="G105" s="8">
        <v>-734496650.09451103</v>
      </c>
      <c r="H105" s="10">
        <v>11.0204083333333</v>
      </c>
      <c r="I105" s="9">
        <f t="shared" si="1"/>
        <v>0.33218997308318032</v>
      </c>
      <c r="J105" s="4"/>
      <c r="K105" t="s">
        <v>15</v>
      </c>
      <c r="L105" t="s">
        <v>23</v>
      </c>
    </row>
    <row r="106" spans="1:12" x14ac:dyDescent="0.2">
      <c r="A106" t="s">
        <v>12</v>
      </c>
      <c r="B106" t="s">
        <v>22</v>
      </c>
      <c r="C106" s="7">
        <v>45657</v>
      </c>
      <c r="D106" s="8"/>
      <c r="E106" s="8">
        <v>37414621429.699997</v>
      </c>
      <c r="F106" s="9"/>
      <c r="G106" s="8">
        <v>1680567078.0077901</v>
      </c>
      <c r="H106" s="10">
        <v>14.181941666666701</v>
      </c>
      <c r="I106" s="9">
        <f t="shared" si="1"/>
        <v>0.28687987211605837</v>
      </c>
      <c r="J106" s="4"/>
      <c r="K106" t="s">
        <v>15</v>
      </c>
      <c r="L106" t="s">
        <v>23</v>
      </c>
    </row>
    <row r="107" spans="1:12" x14ac:dyDescent="0.2">
      <c r="A107" t="s">
        <v>12</v>
      </c>
      <c r="B107" t="s">
        <v>24</v>
      </c>
      <c r="C107" s="7">
        <v>40543</v>
      </c>
      <c r="D107" s="8">
        <v>13632983538.0758</v>
      </c>
      <c r="E107" s="8">
        <v>16894215040.700001</v>
      </c>
      <c r="F107" s="9">
        <v>59.771084361739703</v>
      </c>
      <c r="G107" s="8">
        <v>-1881948409.49804</v>
      </c>
      <c r="H107" s="10">
        <v>0.71</v>
      </c>
      <c r="I107" s="9" t="str">
        <f t="shared" si="1"/>
        <v/>
      </c>
      <c r="J107" s="4"/>
      <c r="K107" t="s">
        <v>14</v>
      </c>
    </row>
    <row r="108" spans="1:12" x14ac:dyDescent="0.2">
      <c r="A108" t="s">
        <v>12</v>
      </c>
      <c r="B108" t="s">
        <v>24</v>
      </c>
      <c r="C108" s="7">
        <v>40908</v>
      </c>
      <c r="D108" s="8">
        <v>12094960533.428101</v>
      </c>
      <c r="E108" s="8">
        <v>17477930466.599998</v>
      </c>
      <c r="F108" s="9">
        <v>60.421771990433498</v>
      </c>
      <c r="G108" s="8">
        <v>-2956017204.2253499</v>
      </c>
      <c r="H108" s="10">
        <v>0.71</v>
      </c>
      <c r="I108" s="9">
        <f t="shared" si="1"/>
        <v>0</v>
      </c>
      <c r="J108" s="4"/>
      <c r="K108" t="s">
        <v>14</v>
      </c>
    </row>
    <row r="109" spans="1:12" x14ac:dyDescent="0.2">
      <c r="A109" t="s">
        <v>12</v>
      </c>
      <c r="B109" t="s">
        <v>24</v>
      </c>
      <c r="C109" s="7">
        <v>41274</v>
      </c>
      <c r="D109" s="8">
        <v>8830598045.4511204</v>
      </c>
      <c r="E109" s="8">
        <v>18297915662.400002</v>
      </c>
      <c r="F109" s="9">
        <v>65.350613939857894</v>
      </c>
      <c r="G109" s="8">
        <v>-4711237323.9436598</v>
      </c>
      <c r="H109" s="10">
        <v>0.71</v>
      </c>
      <c r="I109" s="9">
        <f t="shared" si="1"/>
        <v>0</v>
      </c>
      <c r="J109" s="4"/>
      <c r="K109" t="s">
        <v>14</v>
      </c>
    </row>
    <row r="110" spans="1:12" x14ac:dyDescent="0.2">
      <c r="A110" t="s">
        <v>12</v>
      </c>
      <c r="B110" t="s">
        <v>24</v>
      </c>
      <c r="C110" s="7">
        <v>41639</v>
      </c>
      <c r="D110" s="8">
        <v>13826035948.1698</v>
      </c>
      <c r="E110" s="8">
        <v>23003169930.400002</v>
      </c>
      <c r="F110" s="9">
        <v>73.723812248079</v>
      </c>
      <c r="G110" s="8">
        <v>-3503873260.3801198</v>
      </c>
      <c r="H110" s="10">
        <v>0.71</v>
      </c>
      <c r="I110" s="9">
        <f t="shared" si="1"/>
        <v>0</v>
      </c>
      <c r="J110" s="4"/>
      <c r="K110" t="s">
        <v>14</v>
      </c>
    </row>
    <row r="111" spans="1:12" x14ac:dyDescent="0.2">
      <c r="A111" t="s">
        <v>12</v>
      </c>
      <c r="B111" t="s">
        <v>24</v>
      </c>
      <c r="C111" s="7">
        <v>42004</v>
      </c>
      <c r="D111" s="8">
        <v>16047206176.545601</v>
      </c>
      <c r="E111" s="8">
        <v>24125234088.799999</v>
      </c>
      <c r="F111" s="9">
        <v>77.713991754910694</v>
      </c>
      <c r="G111" s="8">
        <v>-2608028169.0140901</v>
      </c>
      <c r="H111" s="10">
        <v>0.71</v>
      </c>
      <c r="I111" s="9">
        <f t="shared" si="1"/>
        <v>0</v>
      </c>
      <c r="J111" s="4"/>
      <c r="K111" t="s">
        <v>14</v>
      </c>
    </row>
    <row r="112" spans="1:12" x14ac:dyDescent="0.2">
      <c r="A112" t="s">
        <v>12</v>
      </c>
      <c r="B112" t="s">
        <v>24</v>
      </c>
      <c r="C112" s="7">
        <v>42369</v>
      </c>
      <c r="D112" s="8">
        <v>16571894982.6299</v>
      </c>
      <c r="E112" s="8">
        <v>25598481274.599998</v>
      </c>
      <c r="F112" s="9">
        <v>78.8614496694168</v>
      </c>
      <c r="G112" s="8">
        <v>-3469788732.3943601</v>
      </c>
      <c r="H112" s="10">
        <v>0.71</v>
      </c>
      <c r="I112" s="9">
        <f t="shared" si="1"/>
        <v>0</v>
      </c>
      <c r="J112" s="4"/>
      <c r="K112" t="s">
        <v>14</v>
      </c>
    </row>
    <row r="113" spans="1:12" x14ac:dyDescent="0.2">
      <c r="A113" t="s">
        <v>12</v>
      </c>
      <c r="B113" t="s">
        <v>24</v>
      </c>
      <c r="C113" s="7">
        <v>42735</v>
      </c>
      <c r="D113" s="8">
        <v>15543454210.4578</v>
      </c>
      <c r="E113" s="8">
        <v>27110465347.599998</v>
      </c>
      <c r="F113" s="9">
        <v>74.071860773414997</v>
      </c>
      <c r="G113" s="8">
        <v>-3851830985.9154902</v>
      </c>
      <c r="H113" s="10">
        <v>0.71</v>
      </c>
      <c r="I113" s="9">
        <f t="shared" si="1"/>
        <v>0</v>
      </c>
      <c r="J113" s="4"/>
      <c r="K113" t="s">
        <v>14</v>
      </c>
    </row>
    <row r="114" spans="1:12" x14ac:dyDescent="0.2">
      <c r="A114" t="s">
        <v>12</v>
      </c>
      <c r="B114" t="s">
        <v>24</v>
      </c>
      <c r="C114" s="7">
        <v>43100</v>
      </c>
      <c r="D114" s="8">
        <v>15571115321.135201</v>
      </c>
      <c r="E114" s="8">
        <v>30051818034.599998</v>
      </c>
      <c r="F114" s="9">
        <v>75.380502047771699</v>
      </c>
      <c r="G114" s="8">
        <v>-4392816901.4084501</v>
      </c>
      <c r="H114" s="10">
        <v>0.71</v>
      </c>
      <c r="I114" s="9">
        <f t="shared" si="1"/>
        <v>0</v>
      </c>
      <c r="J114" s="4"/>
      <c r="K114" t="s">
        <v>14</v>
      </c>
    </row>
    <row r="115" spans="1:12" x14ac:dyDescent="0.2">
      <c r="A115" t="s">
        <v>12</v>
      </c>
      <c r="B115" t="s">
        <v>24</v>
      </c>
      <c r="C115" s="7">
        <v>43465</v>
      </c>
      <c r="D115" s="8">
        <v>14580237971.8722</v>
      </c>
      <c r="E115" s="8">
        <v>31925591353.799999</v>
      </c>
      <c r="F115" s="9"/>
      <c r="G115" s="8">
        <v>-2962760563.38027</v>
      </c>
      <c r="H115" s="10">
        <v>0.71</v>
      </c>
      <c r="I115" s="9">
        <f t="shared" si="1"/>
        <v>0</v>
      </c>
      <c r="J115" s="4"/>
      <c r="K115" t="s">
        <v>14</v>
      </c>
    </row>
    <row r="116" spans="1:12" x14ac:dyDescent="0.2">
      <c r="A116" t="s">
        <v>12</v>
      </c>
      <c r="B116" t="s">
        <v>24</v>
      </c>
      <c r="C116" s="7">
        <v>43830</v>
      </c>
      <c r="D116" s="8">
        <v>15400591352.5233</v>
      </c>
      <c r="E116" s="8">
        <v>33493554481.700001</v>
      </c>
      <c r="F116" s="9">
        <v>79.344853249271694</v>
      </c>
      <c r="G116" s="8">
        <v>-772845070.42253399</v>
      </c>
      <c r="H116" s="10">
        <v>0.71</v>
      </c>
      <c r="I116" s="9">
        <f t="shared" si="1"/>
        <v>0</v>
      </c>
      <c r="J116" s="4"/>
      <c r="K116" t="s">
        <v>14</v>
      </c>
    </row>
    <row r="117" spans="1:12" x14ac:dyDescent="0.2">
      <c r="A117" t="s">
        <v>12</v>
      </c>
      <c r="B117" t="s">
        <v>24</v>
      </c>
      <c r="C117" s="7">
        <v>44196</v>
      </c>
      <c r="D117" s="8">
        <v>16961505361.5263</v>
      </c>
      <c r="E117" s="8">
        <v>38038131759.599998</v>
      </c>
      <c r="F117" s="9">
        <v>75.966072685990596</v>
      </c>
      <c r="G117" s="8">
        <v>-2505005633.8028102</v>
      </c>
      <c r="H117" s="10">
        <v>0.71</v>
      </c>
      <c r="I117" s="9">
        <f t="shared" si="1"/>
        <v>0</v>
      </c>
      <c r="J117" s="4"/>
      <c r="K117" t="s">
        <v>14</v>
      </c>
    </row>
    <row r="118" spans="1:12" x14ac:dyDescent="0.2">
      <c r="A118" t="s">
        <v>12</v>
      </c>
      <c r="B118" t="s">
        <v>24</v>
      </c>
      <c r="C118" s="7">
        <v>44561</v>
      </c>
      <c r="D118" s="8">
        <v>19089364753.8241</v>
      </c>
      <c r="E118" s="8">
        <v>41757187873.099998</v>
      </c>
      <c r="F118" s="9">
        <v>98.995703379767207</v>
      </c>
      <c r="G118" s="8">
        <v>-3717605633.8028102</v>
      </c>
      <c r="H118" s="10">
        <v>0.71</v>
      </c>
      <c r="I118" s="9">
        <f t="shared" si="1"/>
        <v>0</v>
      </c>
      <c r="J118" s="4"/>
      <c r="K118" t="s">
        <v>14</v>
      </c>
    </row>
    <row r="119" spans="1:12" x14ac:dyDescent="0.2">
      <c r="A119" t="s">
        <v>12</v>
      </c>
      <c r="B119" t="s">
        <v>24</v>
      </c>
      <c r="C119" s="7">
        <v>44926</v>
      </c>
      <c r="D119" s="8">
        <v>18198223674.061199</v>
      </c>
      <c r="E119" s="8">
        <v>41170195546.699997</v>
      </c>
      <c r="F119" s="9">
        <v>100.908283146258</v>
      </c>
      <c r="G119" s="8">
        <v>-3955915492.9577398</v>
      </c>
      <c r="H119" s="10">
        <v>0.71</v>
      </c>
      <c r="I119" s="9">
        <f t="shared" si="1"/>
        <v>0</v>
      </c>
      <c r="J119" s="4"/>
      <c r="K119" t="s">
        <v>14</v>
      </c>
    </row>
    <row r="120" spans="1:12" x14ac:dyDescent="0.2">
      <c r="A120" t="s">
        <v>12</v>
      </c>
      <c r="B120" t="s">
        <v>24</v>
      </c>
      <c r="C120" s="7">
        <v>45291</v>
      </c>
      <c r="D120" s="8">
        <v>19068901690.626099</v>
      </c>
      <c r="E120" s="8">
        <v>44559287366</v>
      </c>
      <c r="F120" s="9">
        <v>102.84727611818199</v>
      </c>
      <c r="G120" s="8">
        <v>-1827323943.6619699</v>
      </c>
      <c r="H120" s="10">
        <v>0.71</v>
      </c>
      <c r="I120" s="9">
        <f t="shared" si="1"/>
        <v>0</v>
      </c>
      <c r="J120" s="4"/>
      <c r="K120" t="s">
        <v>14</v>
      </c>
    </row>
    <row r="121" spans="1:12" x14ac:dyDescent="0.2">
      <c r="A121" t="s">
        <v>12</v>
      </c>
      <c r="B121" t="s">
        <v>24</v>
      </c>
      <c r="C121" s="7">
        <v>45657</v>
      </c>
      <c r="D121" s="8">
        <v>21939099361.5116</v>
      </c>
      <c r="E121" s="8">
        <v>46966040104.699997</v>
      </c>
      <c r="F121" s="9"/>
      <c r="G121" s="8">
        <v>-3126507042.25352</v>
      </c>
      <c r="H121" s="10">
        <v>0.71</v>
      </c>
      <c r="I121" s="9">
        <f t="shared" si="1"/>
        <v>0</v>
      </c>
      <c r="J121" s="4"/>
      <c r="K121" t="s">
        <v>15</v>
      </c>
      <c r="L121" t="s">
        <v>25</v>
      </c>
    </row>
    <row r="122" spans="1:12" x14ac:dyDescent="0.2">
      <c r="A122" t="s">
        <v>12</v>
      </c>
      <c r="B122" t="s">
        <v>26</v>
      </c>
      <c r="C122" s="7">
        <v>40543</v>
      </c>
      <c r="D122" s="8">
        <v>4320858499.0127201</v>
      </c>
      <c r="E122" s="8">
        <v>8885235532.8999996</v>
      </c>
      <c r="F122" s="9"/>
      <c r="G122" s="8">
        <v>-2368671949.9836702</v>
      </c>
      <c r="H122" s="10">
        <v>79.233151704545506</v>
      </c>
      <c r="I122" s="9" t="str">
        <f t="shared" si="1"/>
        <v/>
      </c>
      <c r="J122" s="4"/>
      <c r="K122" t="s">
        <v>14</v>
      </c>
    </row>
    <row r="123" spans="1:12" x14ac:dyDescent="0.2">
      <c r="A123" t="s">
        <v>12</v>
      </c>
      <c r="B123" t="s">
        <v>26</v>
      </c>
      <c r="C123" s="7">
        <v>40908</v>
      </c>
      <c r="D123" s="8">
        <v>4265145709.8144598</v>
      </c>
      <c r="E123" s="8">
        <v>10042095566.4</v>
      </c>
      <c r="F123" s="9"/>
      <c r="G123" s="8">
        <v>-3819304011.3331399</v>
      </c>
      <c r="H123" s="10">
        <v>88.810769971045602</v>
      </c>
      <c r="I123" s="9">
        <f t="shared" si="1"/>
        <v>0.12087892580891291</v>
      </c>
      <c r="J123" s="4"/>
      <c r="K123" t="s">
        <v>14</v>
      </c>
    </row>
    <row r="124" spans="1:12" x14ac:dyDescent="0.2">
      <c r="A124" t="s">
        <v>12</v>
      </c>
      <c r="B124" t="s">
        <v>26</v>
      </c>
      <c r="C124" s="7">
        <v>41274</v>
      </c>
      <c r="D124" s="8">
        <v>5711831324.9543104</v>
      </c>
      <c r="E124" s="8">
        <v>11832175543.200001</v>
      </c>
      <c r="F124" s="9"/>
      <c r="G124" s="8">
        <v>-4216145262.6150398</v>
      </c>
      <c r="H124" s="10">
        <v>84.529601757352907</v>
      </c>
      <c r="I124" s="9">
        <f t="shared" si="1"/>
        <v>-4.8205507227202959E-2</v>
      </c>
      <c r="J124" s="4"/>
      <c r="K124" t="s">
        <v>14</v>
      </c>
    </row>
    <row r="125" spans="1:12" x14ac:dyDescent="0.2">
      <c r="A125" t="s">
        <v>12</v>
      </c>
      <c r="B125" t="s">
        <v>26</v>
      </c>
      <c r="C125" s="7">
        <v>41639</v>
      </c>
      <c r="D125" s="8">
        <v>6598881868.9141197</v>
      </c>
      <c r="E125" s="8">
        <v>13775500738.700001</v>
      </c>
      <c r="F125" s="9"/>
      <c r="G125" s="8">
        <v>-4842146887.5026102</v>
      </c>
      <c r="H125" s="10">
        <v>86.122878898265398</v>
      </c>
      <c r="I125" s="9">
        <f t="shared" si="1"/>
        <v>1.8848747749765637E-2</v>
      </c>
      <c r="J125" s="4"/>
      <c r="K125" t="s">
        <v>14</v>
      </c>
    </row>
    <row r="126" spans="1:12" x14ac:dyDescent="0.2">
      <c r="A126" t="s">
        <v>12</v>
      </c>
      <c r="B126" t="s">
        <v>26</v>
      </c>
      <c r="C126" s="7">
        <v>42004</v>
      </c>
      <c r="D126" s="8">
        <v>7874414432.3624802</v>
      </c>
      <c r="E126" s="8">
        <v>16911742536.700001</v>
      </c>
      <c r="F126" s="9"/>
      <c r="G126" s="8">
        <v>-6377926517.1220999</v>
      </c>
      <c r="H126" s="10">
        <v>87.922163808972698</v>
      </c>
      <c r="I126" s="9">
        <f t="shared" si="1"/>
        <v>2.0892066472054882E-2</v>
      </c>
      <c r="J126" s="4"/>
      <c r="K126" t="s">
        <v>14</v>
      </c>
    </row>
    <row r="127" spans="1:12" x14ac:dyDescent="0.2">
      <c r="A127" t="s">
        <v>12</v>
      </c>
      <c r="B127" t="s">
        <v>26</v>
      </c>
      <c r="C127" s="7">
        <v>42369</v>
      </c>
      <c r="D127" s="8">
        <v>7514864907.0553598</v>
      </c>
      <c r="E127" s="8">
        <v>19783760501.700001</v>
      </c>
      <c r="F127" s="9"/>
      <c r="G127" s="8">
        <v>-4420811285.3528605</v>
      </c>
      <c r="H127" s="10">
        <v>98.178453326527105</v>
      </c>
      <c r="I127" s="9">
        <f t="shared" si="1"/>
        <v>0.11665192339713237</v>
      </c>
      <c r="J127" s="4"/>
      <c r="K127" t="s">
        <v>14</v>
      </c>
    </row>
    <row r="128" spans="1:12" x14ac:dyDescent="0.2">
      <c r="A128" t="s">
        <v>12</v>
      </c>
      <c r="B128" t="s">
        <v>26</v>
      </c>
      <c r="C128" s="7">
        <v>42735</v>
      </c>
      <c r="D128" s="8">
        <v>7553884912.6237001</v>
      </c>
      <c r="E128" s="8">
        <v>21057671043.299999</v>
      </c>
      <c r="F128" s="9"/>
      <c r="G128" s="8">
        <v>-4037779793.1848698</v>
      </c>
      <c r="H128" s="10">
        <v>101.504369498594</v>
      </c>
      <c r="I128" s="9">
        <f t="shared" si="1"/>
        <v>3.387623311813015E-2</v>
      </c>
      <c r="J128" s="4"/>
      <c r="K128" t="s">
        <v>14</v>
      </c>
    </row>
    <row r="129" spans="1:11" x14ac:dyDescent="0.2">
      <c r="A129" t="s">
        <v>12</v>
      </c>
      <c r="B129" t="s">
        <v>26</v>
      </c>
      <c r="C129" s="7">
        <v>43100</v>
      </c>
      <c r="D129" s="8">
        <v>7325420063.3391104</v>
      </c>
      <c r="E129" s="8">
        <v>26951349499.400002</v>
      </c>
      <c r="F129" s="9"/>
      <c r="G129" s="8">
        <v>-5739957846.2860003</v>
      </c>
      <c r="H129" s="10">
        <v>103.410004519014</v>
      </c>
      <c r="I129" s="9">
        <f t="shared" si="1"/>
        <v>1.8773921062052334E-2</v>
      </c>
      <c r="J129" s="4"/>
      <c r="K129" t="s">
        <v>14</v>
      </c>
    </row>
    <row r="130" spans="1:11" x14ac:dyDescent="0.2">
      <c r="A130" t="s">
        <v>12</v>
      </c>
      <c r="B130" t="s">
        <v>26</v>
      </c>
      <c r="C130" s="7">
        <v>43465</v>
      </c>
      <c r="D130" s="8">
        <v>8164380806.2298698</v>
      </c>
      <c r="E130" s="8">
        <v>31433802015.700001</v>
      </c>
      <c r="F130" s="9"/>
      <c r="G130" s="8">
        <v>-4989164830.6811705</v>
      </c>
      <c r="H130" s="10">
        <v>101.301574049018</v>
      </c>
      <c r="I130" s="9">
        <f t="shared" si="1"/>
        <v>-2.0389037596534654E-2</v>
      </c>
      <c r="J130" s="4"/>
      <c r="K130" t="s">
        <v>14</v>
      </c>
    </row>
    <row r="131" spans="1:11" x14ac:dyDescent="0.2">
      <c r="A131" t="s">
        <v>12</v>
      </c>
      <c r="B131" t="s">
        <v>26</v>
      </c>
      <c r="C131" s="7">
        <v>43830</v>
      </c>
      <c r="D131" s="8">
        <v>9115806005.2118607</v>
      </c>
      <c r="E131" s="8">
        <v>34970099589.900002</v>
      </c>
      <c r="F131" s="9"/>
      <c r="G131" s="8">
        <v>-5258353850.9066401</v>
      </c>
      <c r="H131" s="10">
        <v>101.99129838935001</v>
      </c>
      <c r="I131" s="9">
        <f t="shared" ref="I131:I194" si="2">IF(B131=B130,IFERROR(H131/H130-1,""),"")</f>
        <v>6.8086241186959828E-3</v>
      </c>
      <c r="J131" s="4"/>
      <c r="K131" t="s">
        <v>14</v>
      </c>
    </row>
    <row r="132" spans="1:11" x14ac:dyDescent="0.2">
      <c r="A132" t="s">
        <v>12</v>
      </c>
      <c r="B132" t="s">
        <v>26</v>
      </c>
      <c r="C132" s="7">
        <v>44196</v>
      </c>
      <c r="D132" s="8">
        <v>8297263558.9054098</v>
      </c>
      <c r="E132" s="8">
        <v>38038451074.099998</v>
      </c>
      <c r="F132" s="9"/>
      <c r="G132" s="8">
        <v>-3290604657.3590798</v>
      </c>
      <c r="H132" s="10">
        <v>106.45078015851701</v>
      </c>
      <c r="I132" s="9">
        <f t="shared" si="2"/>
        <v>4.3724139603978918E-2</v>
      </c>
      <c r="J132" s="4"/>
      <c r="K132" t="s">
        <v>14</v>
      </c>
    </row>
    <row r="133" spans="1:11" x14ac:dyDescent="0.2">
      <c r="A133" t="s">
        <v>12</v>
      </c>
      <c r="B133" t="s">
        <v>26</v>
      </c>
      <c r="C133" s="7">
        <v>44561</v>
      </c>
      <c r="D133" s="8">
        <v>9490896580.9297009</v>
      </c>
      <c r="E133" s="8">
        <v>41219100011.5</v>
      </c>
      <c r="F133" s="9"/>
      <c r="G133" s="8">
        <v>-5045280175.9232798</v>
      </c>
      <c r="H133" s="10">
        <v>109.63774659236699</v>
      </c>
      <c r="I133" s="9">
        <f t="shared" si="2"/>
        <v>2.9938403730853214E-2</v>
      </c>
      <c r="J133" s="4"/>
      <c r="K133" t="s">
        <v>14</v>
      </c>
    </row>
    <row r="134" spans="1:11" x14ac:dyDescent="0.2">
      <c r="A134" t="s">
        <v>12</v>
      </c>
      <c r="B134" t="s">
        <v>26</v>
      </c>
      <c r="C134" s="7">
        <v>44926</v>
      </c>
      <c r="D134" s="8">
        <v>7969488013.0004902</v>
      </c>
      <c r="E134" s="8">
        <v>41556299639.800003</v>
      </c>
      <c r="F134" s="9"/>
      <c r="G134" s="8">
        <v>-4806802814.1344604</v>
      </c>
      <c r="H134" s="10">
        <v>117.86598920168301</v>
      </c>
      <c r="I134" s="9">
        <f t="shared" si="2"/>
        <v>7.5049359048837472E-2</v>
      </c>
      <c r="J134" s="4"/>
      <c r="K134" t="s">
        <v>14</v>
      </c>
    </row>
    <row r="135" spans="1:11" x14ac:dyDescent="0.2">
      <c r="A135" t="s">
        <v>12</v>
      </c>
      <c r="B135" t="s">
        <v>26</v>
      </c>
      <c r="C135" s="7">
        <v>45291</v>
      </c>
      <c r="D135" s="8">
        <v>7341776189.8446598</v>
      </c>
      <c r="E135" s="8">
        <v>42910026054.199997</v>
      </c>
      <c r="F135" s="9"/>
      <c r="G135" s="8">
        <v>-2736462263.9039898</v>
      </c>
      <c r="H135" s="10">
        <v>139.846383759617</v>
      </c>
      <c r="I135" s="9">
        <f t="shared" si="2"/>
        <v>0.18648631981803399</v>
      </c>
      <c r="J135" s="4"/>
      <c r="K135" t="s">
        <v>14</v>
      </c>
    </row>
    <row r="136" spans="1:11" x14ac:dyDescent="0.2">
      <c r="A136" t="s">
        <v>12</v>
      </c>
      <c r="B136" t="s">
        <v>26</v>
      </c>
      <c r="C136" s="7">
        <v>45657</v>
      </c>
      <c r="D136" s="8">
        <v>10066607177.351</v>
      </c>
      <c r="E136" s="8">
        <v>42886127218.300003</v>
      </c>
      <c r="F136" s="9"/>
      <c r="G136" s="8">
        <v>-1549810652.89871</v>
      </c>
      <c r="H136" s="10">
        <v>134.822483279332</v>
      </c>
      <c r="I136" s="9">
        <f t="shared" si="2"/>
        <v>-3.5924421820735963E-2</v>
      </c>
      <c r="J136" s="4"/>
      <c r="K136" t="s">
        <v>14</v>
      </c>
    </row>
    <row r="137" spans="1:11" x14ac:dyDescent="0.2">
      <c r="A137" t="s">
        <v>12</v>
      </c>
      <c r="B137" t="s">
        <v>27</v>
      </c>
      <c r="C137" s="7">
        <v>40543</v>
      </c>
      <c r="D137" s="8">
        <v>44475631354.515999</v>
      </c>
      <c r="E137" s="8">
        <v>47828988866.099998</v>
      </c>
      <c r="F137" s="9"/>
      <c r="G137" s="8">
        <v>-7552051024.2364902</v>
      </c>
      <c r="H137" s="10">
        <v>1507.5</v>
      </c>
      <c r="I137" s="9" t="str">
        <f t="shared" si="2"/>
        <v/>
      </c>
      <c r="J137" s="4"/>
      <c r="K137" t="s">
        <v>14</v>
      </c>
    </row>
    <row r="138" spans="1:11" x14ac:dyDescent="0.2">
      <c r="A138" t="s">
        <v>12</v>
      </c>
      <c r="B138" t="s">
        <v>27</v>
      </c>
      <c r="C138" s="7">
        <v>40908</v>
      </c>
      <c r="D138" s="8">
        <v>47859468419.496201</v>
      </c>
      <c r="E138" s="8">
        <v>49669741104.300003</v>
      </c>
      <c r="F138" s="9"/>
      <c r="G138" s="8">
        <v>-5523546174.6999998</v>
      </c>
      <c r="H138" s="10">
        <v>1507.5</v>
      </c>
      <c r="I138" s="9">
        <f t="shared" si="2"/>
        <v>0</v>
      </c>
      <c r="J138" s="4"/>
      <c r="K138" t="s">
        <v>14</v>
      </c>
    </row>
    <row r="139" spans="1:11" x14ac:dyDescent="0.2">
      <c r="A139" t="s">
        <v>12</v>
      </c>
      <c r="B139" t="s">
        <v>27</v>
      </c>
      <c r="C139" s="7">
        <v>41274</v>
      </c>
      <c r="D139" s="8">
        <v>52530986898.894203</v>
      </c>
      <c r="E139" s="8">
        <v>55735120974.300003</v>
      </c>
      <c r="F139" s="9"/>
      <c r="G139" s="8">
        <v>-10316751674</v>
      </c>
      <c r="H139" s="10">
        <v>1507.5</v>
      </c>
      <c r="I139" s="9">
        <f t="shared" si="2"/>
        <v>0</v>
      </c>
      <c r="J139" s="4"/>
      <c r="K139" t="s">
        <v>14</v>
      </c>
    </row>
    <row r="140" spans="1:11" x14ac:dyDescent="0.2">
      <c r="A140" t="s">
        <v>12</v>
      </c>
      <c r="B140" t="s">
        <v>27</v>
      </c>
      <c r="C140" s="7">
        <v>41639</v>
      </c>
      <c r="D140" s="8">
        <v>47855927547.678398</v>
      </c>
      <c r="E140" s="8">
        <v>62119370082.400002</v>
      </c>
      <c r="F140" s="9"/>
      <c r="G140" s="8">
        <v>-11959785597</v>
      </c>
      <c r="H140" s="10">
        <v>1507.5</v>
      </c>
      <c r="I140" s="9">
        <f t="shared" si="2"/>
        <v>0</v>
      </c>
      <c r="J140" s="4"/>
      <c r="K140" t="s">
        <v>14</v>
      </c>
    </row>
    <row r="141" spans="1:11" x14ac:dyDescent="0.2">
      <c r="A141" t="s">
        <v>12</v>
      </c>
      <c r="B141" t="s">
        <v>27</v>
      </c>
      <c r="C141" s="7">
        <v>42004</v>
      </c>
      <c r="D141" s="8">
        <v>50668863616.692596</v>
      </c>
      <c r="E141" s="8">
        <v>64468852046.199997</v>
      </c>
      <c r="F141" s="9"/>
      <c r="G141" s="8">
        <v>-12615309907</v>
      </c>
      <c r="H141" s="10">
        <v>1507.5</v>
      </c>
      <c r="I141" s="9">
        <f t="shared" si="2"/>
        <v>0</v>
      </c>
      <c r="J141" s="4"/>
      <c r="K141" t="s">
        <v>14</v>
      </c>
    </row>
    <row r="142" spans="1:11" x14ac:dyDescent="0.2">
      <c r="A142" t="s">
        <v>12</v>
      </c>
      <c r="B142" t="s">
        <v>27</v>
      </c>
      <c r="C142" s="7">
        <v>42369</v>
      </c>
      <c r="D142" s="8">
        <v>48531390536.973396</v>
      </c>
      <c r="E142" s="8">
        <v>68232175837.699997</v>
      </c>
      <c r="F142" s="9"/>
      <c r="G142" s="8">
        <v>-8541780207</v>
      </c>
      <c r="H142" s="10">
        <v>1507.5</v>
      </c>
      <c r="I142" s="9">
        <f t="shared" si="2"/>
        <v>0</v>
      </c>
      <c r="J142" s="4"/>
      <c r="K142" t="s">
        <v>14</v>
      </c>
    </row>
    <row r="143" spans="1:11" x14ac:dyDescent="0.2">
      <c r="A143" t="s">
        <v>12</v>
      </c>
      <c r="B143" t="s">
        <v>27</v>
      </c>
      <c r="C143" s="7">
        <v>42735</v>
      </c>
      <c r="D143" s="8">
        <v>53905512885.564003</v>
      </c>
      <c r="E143" s="8">
        <v>69523800483.899994</v>
      </c>
      <c r="F143" s="9"/>
      <c r="G143" s="8">
        <v>-10473958019</v>
      </c>
      <c r="H143" s="10">
        <v>1507.5</v>
      </c>
      <c r="I143" s="9">
        <f t="shared" si="2"/>
        <v>0</v>
      </c>
      <c r="J143" s="4"/>
      <c r="K143" t="s">
        <v>14</v>
      </c>
    </row>
    <row r="144" spans="1:11" x14ac:dyDescent="0.2">
      <c r="A144" t="s">
        <v>12</v>
      </c>
      <c r="B144" t="s">
        <v>27</v>
      </c>
      <c r="C144" s="7">
        <v>43100</v>
      </c>
      <c r="D144" s="8">
        <v>55411532096.330399</v>
      </c>
      <c r="E144" s="8">
        <v>74188954317.300003</v>
      </c>
      <c r="F144" s="9"/>
      <c r="G144" s="8">
        <v>-12133902089</v>
      </c>
      <c r="H144" s="10">
        <v>1507.5</v>
      </c>
      <c r="I144" s="9">
        <f t="shared" si="2"/>
        <v>0</v>
      </c>
      <c r="J144" s="4"/>
      <c r="K144" t="s">
        <v>14</v>
      </c>
    </row>
    <row r="145" spans="1:11" x14ac:dyDescent="0.2">
      <c r="A145" t="s">
        <v>12</v>
      </c>
      <c r="B145" t="s">
        <v>27</v>
      </c>
      <c r="C145" s="7">
        <v>43465</v>
      </c>
      <c r="D145" s="8">
        <v>52380608542.395599</v>
      </c>
      <c r="E145" s="8">
        <v>79671964766.899994</v>
      </c>
      <c r="F145" s="9"/>
      <c r="G145" s="8">
        <v>-13366895810.871799</v>
      </c>
      <c r="H145" s="10">
        <v>1507.5</v>
      </c>
      <c r="I145" s="9">
        <f t="shared" si="2"/>
        <v>0</v>
      </c>
      <c r="J145" s="4"/>
      <c r="K145" t="s">
        <v>14</v>
      </c>
    </row>
    <row r="146" spans="1:11" x14ac:dyDescent="0.2">
      <c r="A146" t="s">
        <v>12</v>
      </c>
      <c r="B146" t="s">
        <v>27</v>
      </c>
      <c r="C146" s="7">
        <v>43830</v>
      </c>
      <c r="D146" s="8">
        <v>52213484574.221001</v>
      </c>
      <c r="E146" s="8">
        <v>73914514299.199997</v>
      </c>
      <c r="F146" s="9"/>
      <c r="G146" s="8">
        <v>-11264596490.479799</v>
      </c>
      <c r="H146" s="10">
        <v>1507.5</v>
      </c>
      <c r="I146" s="9">
        <f t="shared" si="2"/>
        <v>0</v>
      </c>
      <c r="J146" s="4"/>
      <c r="K146" t="s">
        <v>14</v>
      </c>
    </row>
    <row r="147" spans="1:11" x14ac:dyDescent="0.2">
      <c r="A147" t="s">
        <v>12</v>
      </c>
      <c r="B147" t="s">
        <v>27</v>
      </c>
      <c r="C147" s="7">
        <v>44196</v>
      </c>
      <c r="D147" s="8">
        <v>42440403086.571297</v>
      </c>
      <c r="E147" s="8">
        <v>68899942020.600006</v>
      </c>
      <c r="F147" s="9"/>
      <c r="G147" s="8">
        <v>-2778566572.1531701</v>
      </c>
      <c r="H147" s="10">
        <v>1507.5</v>
      </c>
      <c r="I147" s="9">
        <f t="shared" si="2"/>
        <v>0</v>
      </c>
      <c r="J147" s="4"/>
      <c r="K147" t="s">
        <v>14</v>
      </c>
    </row>
    <row r="148" spans="1:11" x14ac:dyDescent="0.2">
      <c r="A148" t="s">
        <v>12</v>
      </c>
      <c r="B148" t="s">
        <v>27</v>
      </c>
      <c r="C148" s="7">
        <v>44561</v>
      </c>
      <c r="D148" s="8">
        <v>35239219335.7146</v>
      </c>
      <c r="E148" s="8">
        <v>66924113512.199997</v>
      </c>
      <c r="F148" s="9"/>
      <c r="G148" s="8">
        <v>-4556486559.3492603</v>
      </c>
      <c r="H148" s="10">
        <v>1507.5</v>
      </c>
      <c r="I148" s="9">
        <f t="shared" si="2"/>
        <v>0</v>
      </c>
      <c r="J148" s="4"/>
      <c r="K148" t="s">
        <v>14</v>
      </c>
    </row>
    <row r="149" spans="1:11" x14ac:dyDescent="0.2">
      <c r="A149" t="s">
        <v>12</v>
      </c>
      <c r="B149" t="s">
        <v>27</v>
      </c>
      <c r="C149" s="7">
        <v>44926</v>
      </c>
      <c r="D149" s="8">
        <v>32512880021.526798</v>
      </c>
      <c r="E149" s="8">
        <v>67100895977.599998</v>
      </c>
      <c r="F149" s="9"/>
      <c r="G149" s="8">
        <v>-7264685215.3682604</v>
      </c>
      <c r="H149" s="10">
        <v>1507.5</v>
      </c>
      <c r="I149" s="9">
        <f t="shared" si="2"/>
        <v>0</v>
      </c>
      <c r="J149" s="4"/>
      <c r="K149" t="s">
        <v>14</v>
      </c>
    </row>
    <row r="150" spans="1:11" x14ac:dyDescent="0.2">
      <c r="A150" t="s">
        <v>12</v>
      </c>
      <c r="B150" t="s">
        <v>27</v>
      </c>
      <c r="C150" s="7">
        <v>45291</v>
      </c>
      <c r="D150" s="8">
        <v>27489698131.497002</v>
      </c>
      <c r="E150" s="8">
        <v>66329049009.199997</v>
      </c>
      <c r="F150" s="9"/>
      <c r="G150" s="8">
        <v>-5642829132.7383299</v>
      </c>
      <c r="H150" s="10">
        <v>13875.625</v>
      </c>
      <c r="I150" s="9">
        <f t="shared" si="2"/>
        <v>8.2043946932006637</v>
      </c>
      <c r="J150" s="4"/>
      <c r="K150" t="s">
        <v>14</v>
      </c>
    </row>
    <row r="151" spans="1:11" x14ac:dyDescent="0.2">
      <c r="A151" t="s">
        <v>12</v>
      </c>
      <c r="B151" t="s">
        <v>27</v>
      </c>
      <c r="C151" s="7">
        <v>45657</v>
      </c>
      <c r="D151" s="8">
        <v>33301277509.620602</v>
      </c>
      <c r="E151" s="8">
        <v>67389006707.199997</v>
      </c>
      <c r="F151" s="9"/>
      <c r="G151" s="8"/>
      <c r="H151" s="10">
        <v>89500</v>
      </c>
      <c r="I151" s="9">
        <f t="shared" si="2"/>
        <v>5.4501599027070853</v>
      </c>
      <c r="J151" s="4"/>
      <c r="K151" t="s">
        <v>14</v>
      </c>
    </row>
    <row r="152" spans="1:11" x14ac:dyDescent="0.2">
      <c r="A152" t="s">
        <v>12</v>
      </c>
      <c r="B152" t="s">
        <v>28</v>
      </c>
      <c r="C152" s="7">
        <v>40543</v>
      </c>
      <c r="D152" s="8">
        <v>120584016515.123</v>
      </c>
      <c r="E152" s="8">
        <v>312338399290.79999</v>
      </c>
      <c r="F152" s="9"/>
      <c r="G152" s="8">
        <v>-3753937792.99998</v>
      </c>
      <c r="H152" s="10">
        <v>12.636008333333301</v>
      </c>
      <c r="I152" s="9" t="str">
        <f t="shared" si="2"/>
        <v/>
      </c>
      <c r="J152" s="4"/>
      <c r="K152" t="s">
        <v>14</v>
      </c>
    </row>
    <row r="153" spans="1:11" x14ac:dyDescent="0.2">
      <c r="A153" t="s">
        <v>12</v>
      </c>
      <c r="B153" t="s">
        <v>28</v>
      </c>
      <c r="C153" s="7">
        <v>40908</v>
      </c>
      <c r="D153" s="8">
        <v>149208113907.362</v>
      </c>
      <c r="E153" s="8">
        <v>351694706992.29999</v>
      </c>
      <c r="F153" s="9"/>
      <c r="G153" s="8">
        <v>-10543617766</v>
      </c>
      <c r="H153" s="10">
        <v>12.423325</v>
      </c>
      <c r="I153" s="9">
        <f t="shared" si="2"/>
        <v>-1.6831528416473951E-2</v>
      </c>
      <c r="J153" s="4"/>
      <c r="K153" t="s">
        <v>14</v>
      </c>
    </row>
    <row r="154" spans="1:11" x14ac:dyDescent="0.2">
      <c r="A154" t="s">
        <v>12</v>
      </c>
      <c r="B154" t="s">
        <v>28</v>
      </c>
      <c r="C154" s="7">
        <v>41274</v>
      </c>
      <c r="D154" s="8">
        <v>167075785316.03699</v>
      </c>
      <c r="E154" s="8">
        <v>432987558051.40002</v>
      </c>
      <c r="F154" s="9"/>
      <c r="G154" s="8">
        <v>-17695157348.999901</v>
      </c>
      <c r="H154" s="10">
        <v>13.169458333333299</v>
      </c>
      <c r="I154" s="9">
        <f t="shared" si="2"/>
        <v>6.0059068995884646E-2</v>
      </c>
      <c r="J154" s="4"/>
      <c r="K154" t="s">
        <v>14</v>
      </c>
    </row>
    <row r="155" spans="1:11" x14ac:dyDescent="0.2">
      <c r="A155" t="s">
        <v>12</v>
      </c>
      <c r="B155" t="s">
        <v>28</v>
      </c>
      <c r="C155" s="7">
        <v>41639</v>
      </c>
      <c r="D155" s="8">
        <v>180200033349.65799</v>
      </c>
      <c r="E155" s="8">
        <v>504135518878.20001</v>
      </c>
      <c r="F155" s="9"/>
      <c r="G155" s="8">
        <v>-31778421275</v>
      </c>
      <c r="H155" s="10">
        <v>12.7719916666667</v>
      </c>
      <c r="I155" s="9">
        <f t="shared" si="2"/>
        <v>-3.0180942648230902E-2</v>
      </c>
      <c r="J155" s="4"/>
      <c r="K155" t="s">
        <v>14</v>
      </c>
    </row>
    <row r="156" spans="1:11" x14ac:dyDescent="0.2">
      <c r="A156" t="s">
        <v>12</v>
      </c>
      <c r="B156" t="s">
        <v>28</v>
      </c>
      <c r="C156" s="7">
        <v>42004</v>
      </c>
      <c r="D156" s="8">
        <v>195681624545.922</v>
      </c>
      <c r="E156" s="8">
        <v>544166999708.70001</v>
      </c>
      <c r="F156" s="9"/>
      <c r="G156" s="8">
        <v>-24852042092</v>
      </c>
      <c r="H156" s="10">
        <v>13.292450000000001</v>
      </c>
      <c r="I156" s="9">
        <f t="shared" si="2"/>
        <v>4.0749974390574595E-2</v>
      </c>
      <c r="J156" s="4"/>
      <c r="K156" t="s">
        <v>14</v>
      </c>
    </row>
    <row r="157" spans="1:11" x14ac:dyDescent="0.2">
      <c r="A157" t="s">
        <v>12</v>
      </c>
      <c r="B157" t="s">
        <v>28</v>
      </c>
      <c r="C157" s="7">
        <v>42369</v>
      </c>
      <c r="D157" s="8">
        <v>177596632552.62399</v>
      </c>
      <c r="E157" s="8">
        <v>538015200055.59998</v>
      </c>
      <c r="F157" s="9"/>
      <c r="G157" s="8">
        <v>-31535662037</v>
      </c>
      <c r="H157" s="10">
        <v>15.848266666666699</v>
      </c>
      <c r="I157" s="9">
        <f t="shared" si="2"/>
        <v>0.19227581571995378</v>
      </c>
      <c r="J157" s="4"/>
      <c r="K157" t="s">
        <v>14</v>
      </c>
    </row>
    <row r="158" spans="1:11" x14ac:dyDescent="0.2">
      <c r="A158" t="s">
        <v>12</v>
      </c>
      <c r="B158" t="s">
        <v>28</v>
      </c>
      <c r="C158" s="7">
        <v>42735</v>
      </c>
      <c r="D158" s="8">
        <v>177973637254.60999</v>
      </c>
      <c r="E158" s="8">
        <v>544792453300</v>
      </c>
      <c r="F158" s="9"/>
      <c r="G158" s="8">
        <v>-25282312906.999901</v>
      </c>
      <c r="H158" s="10">
        <v>18.664058333333301</v>
      </c>
      <c r="I158" s="9">
        <f t="shared" si="2"/>
        <v>0.1776719010280785</v>
      </c>
      <c r="J158" s="4"/>
      <c r="K158" t="s">
        <v>14</v>
      </c>
    </row>
    <row r="159" spans="1:11" x14ac:dyDescent="0.2">
      <c r="A159" t="s">
        <v>12</v>
      </c>
      <c r="B159" t="s">
        <v>28</v>
      </c>
      <c r="C159" s="7">
        <v>43100</v>
      </c>
      <c r="D159" s="8">
        <v>175469669183.54401</v>
      </c>
      <c r="E159" s="8">
        <v>578638429804.90002</v>
      </c>
      <c r="F159" s="9"/>
      <c r="G159" s="8">
        <v>-21402776864</v>
      </c>
      <c r="H159" s="10">
        <v>18.9265166666667</v>
      </c>
      <c r="I159" s="9">
        <f t="shared" si="2"/>
        <v>1.4062232803069286E-2</v>
      </c>
      <c r="J159" s="4"/>
      <c r="K159" t="s">
        <v>14</v>
      </c>
    </row>
    <row r="160" spans="1:11" x14ac:dyDescent="0.2">
      <c r="A160" t="s">
        <v>12</v>
      </c>
      <c r="B160" t="s">
        <v>28</v>
      </c>
      <c r="C160" s="7">
        <v>43465</v>
      </c>
      <c r="D160" s="8">
        <v>176390278595.58401</v>
      </c>
      <c r="E160" s="8">
        <v>602000702060.09998</v>
      </c>
      <c r="F160" s="9"/>
      <c r="G160" s="8">
        <v>-25931803949</v>
      </c>
      <c r="H160" s="10">
        <v>19.244341666666699</v>
      </c>
      <c r="I160" s="9">
        <f t="shared" si="2"/>
        <v>1.6792577609368031E-2</v>
      </c>
      <c r="J160" s="4"/>
      <c r="K160" t="s">
        <v>14</v>
      </c>
    </row>
    <row r="161" spans="1:11" x14ac:dyDescent="0.2">
      <c r="A161" t="s">
        <v>12</v>
      </c>
      <c r="B161" t="s">
        <v>28</v>
      </c>
      <c r="C161" s="7">
        <v>43830</v>
      </c>
      <c r="D161" s="8">
        <v>183056094117.556</v>
      </c>
      <c r="E161" s="8">
        <v>617449991504.40002</v>
      </c>
      <c r="F161" s="9">
        <v>41.327394050787802</v>
      </c>
      <c r="G161" s="8">
        <v>-3871166263.00003</v>
      </c>
      <c r="H161" s="10">
        <v>19.263633333333299</v>
      </c>
      <c r="I161" s="9">
        <f t="shared" si="2"/>
        <v>1.0024591644002268E-3</v>
      </c>
      <c r="J161" s="4"/>
      <c r="K161" t="s">
        <v>14</v>
      </c>
    </row>
    <row r="162" spans="1:11" x14ac:dyDescent="0.2">
      <c r="A162" t="s">
        <v>12</v>
      </c>
      <c r="B162" t="s">
        <v>28</v>
      </c>
      <c r="C162" s="7">
        <v>44196</v>
      </c>
      <c r="D162" s="8">
        <v>199069188921.04599</v>
      </c>
      <c r="E162" s="8">
        <v>616686384395</v>
      </c>
      <c r="F162" s="9">
        <v>45.8373464334068</v>
      </c>
      <c r="G162" s="8">
        <v>26870887483</v>
      </c>
      <c r="H162" s="10">
        <v>21.4856083333333</v>
      </c>
      <c r="I162" s="9">
        <f t="shared" si="2"/>
        <v>0.11534558208991408</v>
      </c>
      <c r="J162" s="4"/>
      <c r="K162" t="s">
        <v>14</v>
      </c>
    </row>
    <row r="163" spans="1:11" x14ac:dyDescent="0.2">
      <c r="A163" t="s">
        <v>12</v>
      </c>
      <c r="B163" t="s">
        <v>28</v>
      </c>
      <c r="C163" s="7">
        <v>44561</v>
      </c>
      <c r="D163" s="8">
        <v>207799490381.04199</v>
      </c>
      <c r="E163" s="8">
        <v>601471659897.80005</v>
      </c>
      <c r="F163" s="9">
        <v>44.8609557938384</v>
      </c>
      <c r="G163" s="8">
        <v>-4562555873.0000095</v>
      </c>
      <c r="H163" s="10">
        <v>20.272408333333299</v>
      </c>
      <c r="I163" s="9">
        <f t="shared" si="2"/>
        <v>-5.6465703980920656E-2</v>
      </c>
      <c r="J163" s="4"/>
      <c r="K163" t="s">
        <v>14</v>
      </c>
    </row>
    <row r="164" spans="1:11" x14ac:dyDescent="0.2">
      <c r="A164" t="s">
        <v>12</v>
      </c>
      <c r="B164" t="s">
        <v>28</v>
      </c>
      <c r="C164" s="7">
        <v>44926</v>
      </c>
      <c r="D164" s="8">
        <v>201118689946.08701</v>
      </c>
      <c r="E164" s="8">
        <v>585861539733.19995</v>
      </c>
      <c r="F164" s="9">
        <v>43.969440139930498</v>
      </c>
      <c r="G164" s="8">
        <v>-18920244497</v>
      </c>
      <c r="H164" s="10">
        <v>20.12735</v>
      </c>
      <c r="I164" s="9">
        <f t="shared" si="2"/>
        <v>-7.1554563694725681E-3</v>
      </c>
      <c r="J164" s="4"/>
      <c r="K164" t="s">
        <v>14</v>
      </c>
    </row>
    <row r="165" spans="1:11" x14ac:dyDescent="0.2">
      <c r="A165" t="s">
        <v>12</v>
      </c>
      <c r="B165" t="s">
        <v>28</v>
      </c>
      <c r="C165" s="7">
        <v>45291</v>
      </c>
      <c r="D165" s="8">
        <v>214316827085.01999</v>
      </c>
      <c r="E165" s="8">
        <v>595981151218</v>
      </c>
      <c r="F165" s="9">
        <v>45.029760311443397</v>
      </c>
      <c r="G165" s="8">
        <v>-12595251990.999901</v>
      </c>
      <c r="H165" s="10">
        <v>17.7587166666667</v>
      </c>
      <c r="I165" s="9">
        <f t="shared" si="2"/>
        <v>-0.11768232446563009</v>
      </c>
      <c r="J165" s="4"/>
      <c r="K165" t="s">
        <v>14</v>
      </c>
    </row>
    <row r="166" spans="1:11" x14ac:dyDescent="0.2">
      <c r="A166" t="s">
        <v>12</v>
      </c>
      <c r="B166" t="s">
        <v>28</v>
      </c>
      <c r="C166" s="7">
        <v>45657</v>
      </c>
      <c r="D166" s="8">
        <v>232035392464.815</v>
      </c>
      <c r="E166" s="8">
        <v>591255026725</v>
      </c>
      <c r="F166" s="9"/>
      <c r="G166" s="8">
        <v>-16740199412.999901</v>
      </c>
      <c r="H166" s="10">
        <v>18.3048583333333</v>
      </c>
      <c r="I166" s="9">
        <f t="shared" si="2"/>
        <v>3.0753442206311821E-2</v>
      </c>
      <c r="J166" s="4"/>
      <c r="K166" t="s">
        <v>14</v>
      </c>
    </row>
    <row r="167" spans="1:11" x14ac:dyDescent="0.2">
      <c r="A167" t="s">
        <v>12</v>
      </c>
      <c r="B167" t="s">
        <v>29</v>
      </c>
      <c r="C167" s="7">
        <v>40543</v>
      </c>
      <c r="D167" s="8">
        <v>23709466593.993198</v>
      </c>
      <c r="E167" s="8">
        <v>27347978062.099998</v>
      </c>
      <c r="F167" s="9">
        <v>47.098265673963802</v>
      </c>
      <c r="G167" s="8">
        <v>-3925169124.53725</v>
      </c>
      <c r="H167" s="10">
        <v>8.4171583333333295</v>
      </c>
      <c r="I167" s="9" t="str">
        <f t="shared" si="2"/>
        <v/>
      </c>
      <c r="J167" s="4"/>
      <c r="K167" t="s">
        <v>14</v>
      </c>
    </row>
    <row r="168" spans="1:11" x14ac:dyDescent="0.2">
      <c r="A168" t="s">
        <v>12</v>
      </c>
      <c r="B168" t="s">
        <v>29</v>
      </c>
      <c r="C168" s="7">
        <v>40908</v>
      </c>
      <c r="D168" s="8">
        <v>20167412691.7066</v>
      </c>
      <c r="E168" s="8">
        <v>30016607498.099998</v>
      </c>
      <c r="F168" s="9">
        <v>51.226321570456903</v>
      </c>
      <c r="G168" s="8">
        <v>-7999598422.1286001</v>
      </c>
      <c r="H168" s="10">
        <v>8.0898749999999993</v>
      </c>
      <c r="I168" s="9">
        <f t="shared" si="2"/>
        <v>-3.888287713885985E-2</v>
      </c>
      <c r="J168" s="4"/>
      <c r="K168" t="s">
        <v>14</v>
      </c>
    </row>
    <row r="169" spans="1:11" x14ac:dyDescent="0.2">
      <c r="A169" t="s">
        <v>12</v>
      </c>
      <c r="B169" t="s">
        <v>29</v>
      </c>
      <c r="C169" s="7">
        <v>41274</v>
      </c>
      <c r="D169" s="8">
        <v>17138210439.250601</v>
      </c>
      <c r="E169" s="8">
        <v>33925181786.700001</v>
      </c>
      <c r="F169" s="9"/>
      <c r="G169" s="8">
        <v>-9571267651.8658295</v>
      </c>
      <c r="H169" s="10">
        <v>8.6284445833333301</v>
      </c>
      <c r="I169" s="9">
        <f t="shared" si="2"/>
        <v>6.6573288627244764E-2</v>
      </c>
      <c r="J169" s="4"/>
      <c r="K169" t="s">
        <v>14</v>
      </c>
    </row>
    <row r="170" spans="1:11" x14ac:dyDescent="0.2">
      <c r="A170" t="s">
        <v>12</v>
      </c>
      <c r="B170" t="s">
        <v>29</v>
      </c>
      <c r="C170" s="7">
        <v>41639</v>
      </c>
      <c r="D170" s="8">
        <v>18797794939.8508</v>
      </c>
      <c r="E170" s="8">
        <v>39430846407.300003</v>
      </c>
      <c r="F170" s="9"/>
      <c r="G170" s="8">
        <v>-7844020644.7275801</v>
      </c>
      <c r="H170" s="10">
        <v>8.4055039167442995</v>
      </c>
      <c r="I170" s="9">
        <f t="shared" si="2"/>
        <v>-2.5837874304676212E-2</v>
      </c>
      <c r="J170" s="4"/>
      <c r="K170" t="s">
        <v>14</v>
      </c>
    </row>
    <row r="171" spans="1:11" x14ac:dyDescent="0.2">
      <c r="A171" t="s">
        <v>12</v>
      </c>
      <c r="B171" t="s">
        <v>29</v>
      </c>
      <c r="C171" s="7">
        <v>42004</v>
      </c>
      <c r="D171" s="8">
        <v>20272045638.848701</v>
      </c>
      <c r="E171" s="8">
        <v>43338961889.400002</v>
      </c>
      <c r="F171" s="9"/>
      <c r="G171" s="8">
        <v>-6597266905.2894697</v>
      </c>
      <c r="H171" s="10">
        <v>8.4063366882615203</v>
      </c>
      <c r="I171" s="9">
        <f t="shared" si="2"/>
        <v>9.907454989832587E-5</v>
      </c>
      <c r="J171" s="4"/>
      <c r="K171" t="s">
        <v>14</v>
      </c>
    </row>
    <row r="172" spans="1:11" x14ac:dyDescent="0.2">
      <c r="A172" t="s">
        <v>12</v>
      </c>
      <c r="B172" t="s">
        <v>29</v>
      </c>
      <c r="C172" s="7">
        <v>42369</v>
      </c>
      <c r="D172" s="8">
        <v>22749566243.660599</v>
      </c>
      <c r="E172" s="8">
        <v>44625383212.699997</v>
      </c>
      <c r="F172" s="9"/>
      <c r="G172" s="8">
        <v>-2160696677.40238</v>
      </c>
      <c r="H172" s="10">
        <v>9.7643482795011103</v>
      </c>
      <c r="I172" s="9">
        <f t="shared" si="2"/>
        <v>0.16154618136291132</v>
      </c>
      <c r="J172" s="4"/>
      <c r="K172" t="s">
        <v>14</v>
      </c>
    </row>
    <row r="173" spans="1:11" x14ac:dyDescent="0.2">
      <c r="A173" t="s">
        <v>12</v>
      </c>
      <c r="B173" t="s">
        <v>29</v>
      </c>
      <c r="C173" s="7">
        <v>42735</v>
      </c>
      <c r="D173" s="8">
        <v>25096263443.799</v>
      </c>
      <c r="E173" s="8">
        <v>47831451631</v>
      </c>
      <c r="F173" s="9"/>
      <c r="G173" s="8">
        <v>-4179669586.7282801</v>
      </c>
      <c r="H173" s="10">
        <v>9.8074760315024996</v>
      </c>
      <c r="I173" s="9">
        <f t="shared" si="2"/>
        <v>4.4168592482438651E-3</v>
      </c>
      <c r="J173" s="4"/>
      <c r="K173" t="s">
        <v>14</v>
      </c>
    </row>
    <row r="174" spans="1:11" x14ac:dyDescent="0.2">
      <c r="A174" t="s">
        <v>12</v>
      </c>
      <c r="B174" t="s">
        <v>29</v>
      </c>
      <c r="C174" s="7">
        <v>43100</v>
      </c>
      <c r="D174" s="8">
        <v>26189585939.2967</v>
      </c>
      <c r="E174" s="8">
        <v>51358094284</v>
      </c>
      <c r="F174" s="9"/>
      <c r="G174" s="8">
        <v>-3677255013.68365</v>
      </c>
      <c r="H174" s="10">
        <v>9.6919978888288991</v>
      </c>
      <c r="I174" s="9">
        <f t="shared" si="2"/>
        <v>-1.1774501645752111E-2</v>
      </c>
      <c r="J174" s="4"/>
      <c r="K174" t="s">
        <v>14</v>
      </c>
    </row>
    <row r="175" spans="1:11" x14ac:dyDescent="0.2">
      <c r="A175" t="s">
        <v>12</v>
      </c>
      <c r="B175" t="s">
        <v>29</v>
      </c>
      <c r="C175" s="7">
        <v>43465</v>
      </c>
      <c r="D175" s="8">
        <v>24461023093.208698</v>
      </c>
      <c r="E175" s="8">
        <v>50686138658.300003</v>
      </c>
      <c r="F175" s="9"/>
      <c r="G175" s="8">
        <v>-6205208861.7204399</v>
      </c>
      <c r="H175" s="10">
        <v>9.3861024209197197</v>
      </c>
      <c r="I175" s="9">
        <f t="shared" si="2"/>
        <v>-3.1561652346391633E-2</v>
      </c>
      <c r="J175" s="4"/>
      <c r="K175" t="s">
        <v>14</v>
      </c>
    </row>
    <row r="176" spans="1:11" x14ac:dyDescent="0.2">
      <c r="A176" t="s">
        <v>12</v>
      </c>
      <c r="B176" t="s">
        <v>29</v>
      </c>
      <c r="C176" s="7">
        <v>43830</v>
      </c>
      <c r="D176" s="8">
        <v>26412762236.849899</v>
      </c>
      <c r="E176" s="8">
        <v>55279299519.300003</v>
      </c>
      <c r="F176" s="9"/>
      <c r="G176" s="8">
        <v>-4406759940.6862898</v>
      </c>
      <c r="H176" s="10">
        <v>9.6170760995074307</v>
      </c>
      <c r="I176" s="9">
        <f t="shared" si="2"/>
        <v>2.4608050096802447E-2</v>
      </c>
      <c r="J176" s="4"/>
      <c r="K176" t="s">
        <v>14</v>
      </c>
    </row>
    <row r="177" spans="1:11" x14ac:dyDescent="0.2">
      <c r="A177" t="s">
        <v>12</v>
      </c>
      <c r="B177" t="s">
        <v>29</v>
      </c>
      <c r="C177" s="7">
        <v>44196</v>
      </c>
      <c r="D177" s="8">
        <v>35997639773.454399</v>
      </c>
      <c r="E177" s="8">
        <v>66009840918.5</v>
      </c>
      <c r="F177" s="9"/>
      <c r="G177" s="8">
        <v>-1368382876.4172001</v>
      </c>
      <c r="H177" s="10">
        <v>9.4968473222196899</v>
      </c>
      <c r="I177" s="9">
        <f t="shared" si="2"/>
        <v>-1.250159362822334E-2</v>
      </c>
      <c r="J177" s="4"/>
      <c r="K177" t="s">
        <v>14</v>
      </c>
    </row>
    <row r="178" spans="1:11" x14ac:dyDescent="0.2">
      <c r="A178" t="s">
        <v>12</v>
      </c>
      <c r="B178" t="s">
        <v>29</v>
      </c>
      <c r="C178" s="7">
        <v>44561</v>
      </c>
      <c r="D178" s="8">
        <v>35648269520.152702</v>
      </c>
      <c r="E178" s="8">
        <v>65687357710.099998</v>
      </c>
      <c r="F178" s="9"/>
      <c r="G178" s="8">
        <v>-3348692437.5591998</v>
      </c>
      <c r="H178" s="10">
        <v>8.9884840241413801</v>
      </c>
      <c r="I178" s="9">
        <f t="shared" si="2"/>
        <v>-5.3529690520442097E-2</v>
      </c>
      <c r="J178" s="4"/>
      <c r="K178" t="s">
        <v>14</v>
      </c>
    </row>
    <row r="179" spans="1:11" x14ac:dyDescent="0.2">
      <c r="A179" t="s">
        <v>12</v>
      </c>
      <c r="B179" t="s">
        <v>29</v>
      </c>
      <c r="C179" s="7">
        <v>44926</v>
      </c>
      <c r="D179" s="8">
        <v>32314245660.438301</v>
      </c>
      <c r="E179" s="8">
        <v>64971802459.599998</v>
      </c>
      <c r="F179" s="9"/>
      <c r="G179" s="8">
        <v>-4800285754.4293499</v>
      </c>
      <c r="H179" s="10">
        <v>10.160660243035901</v>
      </c>
      <c r="I179" s="9">
        <f t="shared" si="2"/>
        <v>0.13040866688378983</v>
      </c>
      <c r="J179" s="4"/>
      <c r="K179" t="s">
        <v>14</v>
      </c>
    </row>
    <row r="180" spans="1:11" x14ac:dyDescent="0.2">
      <c r="A180" t="s">
        <v>12</v>
      </c>
      <c r="B180" t="s">
        <v>29</v>
      </c>
      <c r="C180" s="7">
        <v>45291</v>
      </c>
      <c r="D180" s="8">
        <v>36327701787.752296</v>
      </c>
      <c r="E180" s="8">
        <v>69632222212.5</v>
      </c>
      <c r="F180" s="9"/>
      <c r="G180" s="8">
        <v>-1529987450.0160899</v>
      </c>
      <c r="H180" s="10">
        <v>10.131426097089699</v>
      </c>
      <c r="I180" s="9">
        <f t="shared" si="2"/>
        <v>-2.8771895966346328E-3</v>
      </c>
      <c r="J180" s="4"/>
      <c r="K180" t="s">
        <v>14</v>
      </c>
    </row>
    <row r="181" spans="1:11" x14ac:dyDescent="0.2">
      <c r="A181" t="s">
        <v>12</v>
      </c>
      <c r="B181" t="s">
        <v>29</v>
      </c>
      <c r="C181" s="7">
        <v>45657</v>
      </c>
      <c r="D181" s="8">
        <v>37133907722.789299</v>
      </c>
      <c r="E181" s="8">
        <v>67993946129.400002</v>
      </c>
      <c r="F181" s="9"/>
      <c r="G181" s="8">
        <v>-1868774289.7769499</v>
      </c>
      <c r="H181" s="10">
        <v>9.9423592167919796</v>
      </c>
      <c r="I181" s="9">
        <f t="shared" si="2"/>
        <v>-1.8661428162816129E-2</v>
      </c>
      <c r="J181" s="4"/>
      <c r="K181" t="s">
        <v>14</v>
      </c>
    </row>
    <row r="182" spans="1:11" x14ac:dyDescent="0.2">
      <c r="A182" t="s">
        <v>12</v>
      </c>
      <c r="B182" t="s">
        <v>30</v>
      </c>
      <c r="C182" s="7">
        <v>40543</v>
      </c>
      <c r="D182" s="8">
        <v>33305051215.6973</v>
      </c>
      <c r="E182" s="8">
        <v>29148883008.700001</v>
      </c>
      <c r="F182" s="9"/>
      <c r="G182" s="8">
        <v>13111276866.0476</v>
      </c>
      <c r="H182" s="10">
        <v>150.29750000000001</v>
      </c>
      <c r="I182" s="9" t="str">
        <f t="shared" si="2"/>
        <v/>
      </c>
      <c r="J182" s="4"/>
      <c r="K182" t="s">
        <v>14</v>
      </c>
    </row>
    <row r="183" spans="1:11" x14ac:dyDescent="0.2">
      <c r="A183" t="s">
        <v>12</v>
      </c>
      <c r="B183" t="s">
        <v>30</v>
      </c>
      <c r="C183" s="7">
        <v>40908</v>
      </c>
      <c r="D183" s="8">
        <v>33691784435.737598</v>
      </c>
      <c r="E183" s="8">
        <v>34129232146</v>
      </c>
      <c r="F183" s="9"/>
      <c r="G183" s="8">
        <v>10668377374.3563</v>
      </c>
      <c r="H183" s="10">
        <v>153.86250000000001</v>
      </c>
      <c r="I183" s="9">
        <f t="shared" si="2"/>
        <v>2.3719622748215929E-2</v>
      </c>
      <c r="J183" s="4"/>
      <c r="K183" t="s">
        <v>14</v>
      </c>
    </row>
    <row r="184" spans="1:11" x14ac:dyDescent="0.2">
      <c r="A184" t="s">
        <v>12</v>
      </c>
      <c r="B184" t="s">
        <v>30</v>
      </c>
      <c r="C184" s="7">
        <v>41274</v>
      </c>
      <c r="D184" s="8">
        <v>44973806131.658699</v>
      </c>
      <c r="E184" s="8">
        <v>39282745538.800003</v>
      </c>
      <c r="F184" s="9"/>
      <c r="G184" s="8">
        <v>17374274674.8298</v>
      </c>
      <c r="H184" s="10">
        <v>157.5</v>
      </c>
      <c r="I184" s="9">
        <f t="shared" si="2"/>
        <v>2.364123811844987E-2</v>
      </c>
      <c r="J184" s="4"/>
      <c r="K184" t="s">
        <v>14</v>
      </c>
    </row>
    <row r="185" spans="1:11" x14ac:dyDescent="0.2">
      <c r="A185" t="s">
        <v>12</v>
      </c>
      <c r="B185" t="s">
        <v>30</v>
      </c>
      <c r="C185" s="7">
        <v>41639</v>
      </c>
      <c r="D185" s="8">
        <v>43675023637.580498</v>
      </c>
      <c r="E185" s="8">
        <v>42604005424.400002</v>
      </c>
      <c r="F185" s="9"/>
      <c r="G185" s="8">
        <v>19048981238.377201</v>
      </c>
      <c r="H185" s="10">
        <v>157.31166666666701</v>
      </c>
      <c r="I185" s="9">
        <f t="shared" si="2"/>
        <v>-1.195767195764974E-3</v>
      </c>
      <c r="J185" s="4"/>
      <c r="K185" t="s">
        <v>14</v>
      </c>
    </row>
    <row r="186" spans="1:11" x14ac:dyDescent="0.2">
      <c r="A186" t="s">
        <v>12</v>
      </c>
      <c r="B186" t="s">
        <v>30</v>
      </c>
      <c r="C186" s="7">
        <v>42004</v>
      </c>
      <c r="D186" s="8">
        <v>35070259874.487099</v>
      </c>
      <c r="E186" s="8">
        <v>46672476310.199997</v>
      </c>
      <c r="F186" s="9"/>
      <c r="G186" s="8">
        <v>906535877.20859599</v>
      </c>
      <c r="H186" s="10">
        <v>158.552641666667</v>
      </c>
      <c r="I186" s="9">
        <f t="shared" si="2"/>
        <v>7.8886393253307929E-3</v>
      </c>
      <c r="J186" s="4"/>
      <c r="K186" t="s">
        <v>14</v>
      </c>
    </row>
    <row r="187" spans="1:11" x14ac:dyDescent="0.2">
      <c r="A187" t="s">
        <v>12</v>
      </c>
      <c r="B187" t="s">
        <v>30</v>
      </c>
      <c r="C187" s="7">
        <v>42369</v>
      </c>
      <c r="D187" s="8">
        <v>29011450144.310001</v>
      </c>
      <c r="E187" s="8">
        <v>45024833871.699997</v>
      </c>
      <c r="F187" s="9"/>
      <c r="G187" s="8">
        <v>-15438642533.9653</v>
      </c>
      <c r="H187" s="10">
        <v>192.440333333333</v>
      </c>
      <c r="I187" s="9">
        <f t="shared" si="2"/>
        <v>0.2137314857100252</v>
      </c>
      <c r="J187" s="4"/>
      <c r="K187" t="s">
        <v>14</v>
      </c>
    </row>
    <row r="188" spans="1:11" x14ac:dyDescent="0.2">
      <c r="A188" t="s">
        <v>12</v>
      </c>
      <c r="B188" t="s">
        <v>30</v>
      </c>
      <c r="C188" s="7">
        <v>42735</v>
      </c>
      <c r="D188" s="8">
        <v>28020197619.337898</v>
      </c>
      <c r="E188" s="8">
        <v>43735939488.900002</v>
      </c>
      <c r="F188" s="9"/>
      <c r="G188" s="8">
        <v>5077217476.10779</v>
      </c>
      <c r="H188" s="10">
        <v>253.49199999999999</v>
      </c>
      <c r="I188" s="9">
        <f t="shared" si="2"/>
        <v>0.31724984887090768</v>
      </c>
      <c r="J188" s="4"/>
      <c r="K188" t="s">
        <v>14</v>
      </c>
    </row>
    <row r="189" spans="1:11" x14ac:dyDescent="0.2">
      <c r="A189" t="s">
        <v>12</v>
      </c>
      <c r="B189" t="s">
        <v>30</v>
      </c>
      <c r="C189" s="7">
        <v>43100</v>
      </c>
      <c r="D189" s="8">
        <v>40499220796.365196</v>
      </c>
      <c r="E189" s="8">
        <v>65142821169.800003</v>
      </c>
      <c r="F189" s="9"/>
      <c r="G189" s="8">
        <v>13563765219.294201</v>
      </c>
      <c r="H189" s="10">
        <v>305.79010916000499</v>
      </c>
      <c r="I189" s="9">
        <f t="shared" si="2"/>
        <v>0.20631068893694859</v>
      </c>
      <c r="J189" s="4"/>
      <c r="K189" t="s">
        <v>14</v>
      </c>
    </row>
    <row r="190" spans="1:11" x14ac:dyDescent="0.2">
      <c r="A190" t="s">
        <v>12</v>
      </c>
      <c r="B190" t="s">
        <v>30</v>
      </c>
      <c r="C190" s="7">
        <v>43465</v>
      </c>
      <c r="D190" s="8">
        <v>42838869124.791</v>
      </c>
      <c r="E190" s="8">
        <v>69440288784.600006</v>
      </c>
      <c r="F190" s="9"/>
      <c r="G190" s="8">
        <v>7283154462.9724703</v>
      </c>
      <c r="H190" s="10">
        <v>306.08368824523399</v>
      </c>
      <c r="I190" s="9">
        <f t="shared" si="2"/>
        <v>9.6006730248876515E-4</v>
      </c>
      <c r="J190" s="4"/>
      <c r="K190" t="s">
        <v>14</v>
      </c>
    </row>
    <row r="191" spans="1:11" x14ac:dyDescent="0.2">
      <c r="A191" t="s">
        <v>12</v>
      </c>
      <c r="B191" t="s">
        <v>30</v>
      </c>
      <c r="C191" s="7">
        <v>43830</v>
      </c>
      <c r="D191" s="8">
        <v>38335890478.772903</v>
      </c>
      <c r="E191" s="8">
        <v>81342753974.699997</v>
      </c>
      <c r="F191" s="9"/>
      <c r="G191" s="8">
        <v>-13685219004.198601</v>
      </c>
      <c r="H191" s="10">
        <v>306.92095149522299</v>
      </c>
      <c r="I191" s="9">
        <f t="shared" si="2"/>
        <v>2.7354063027305031E-3</v>
      </c>
      <c r="J191" s="4"/>
      <c r="K191" t="s">
        <v>14</v>
      </c>
    </row>
    <row r="192" spans="1:11" x14ac:dyDescent="0.2">
      <c r="A192" t="s">
        <v>12</v>
      </c>
      <c r="B192" t="s">
        <v>30</v>
      </c>
      <c r="C192" s="7">
        <v>44196</v>
      </c>
      <c r="D192" s="8">
        <v>36729565817.614998</v>
      </c>
      <c r="E192" s="8">
        <v>87591245939.399994</v>
      </c>
      <c r="F192" s="9"/>
      <c r="G192" s="8">
        <v>-15985927540.766701</v>
      </c>
      <c r="H192" s="10">
        <v>358.81079725829699</v>
      </c>
      <c r="I192" s="9">
        <f t="shared" si="2"/>
        <v>0.16906583115386176</v>
      </c>
      <c r="J192" s="4"/>
      <c r="K192" t="s">
        <v>14</v>
      </c>
    </row>
    <row r="193" spans="1:11" x14ac:dyDescent="0.2">
      <c r="A193" t="s">
        <v>12</v>
      </c>
      <c r="B193" t="s">
        <v>30</v>
      </c>
      <c r="C193" s="7">
        <v>44561</v>
      </c>
      <c r="D193" s="8">
        <v>40476363167.031601</v>
      </c>
      <c r="E193" s="8">
        <v>96254706293.5</v>
      </c>
      <c r="F193" s="9"/>
      <c r="G193" s="8">
        <v>-3254163170.2825298</v>
      </c>
      <c r="H193" s="10">
        <v>401.15202922077901</v>
      </c>
      <c r="I193" s="9">
        <f t="shared" si="2"/>
        <v>0.118004341803577</v>
      </c>
      <c r="J193" s="4"/>
      <c r="K193" t="s">
        <v>14</v>
      </c>
    </row>
    <row r="194" spans="1:11" x14ac:dyDescent="0.2">
      <c r="A194" t="s">
        <v>12</v>
      </c>
      <c r="B194" t="s">
        <v>30</v>
      </c>
      <c r="C194" s="7">
        <v>44926</v>
      </c>
      <c r="D194" s="8">
        <v>35563949955.496902</v>
      </c>
      <c r="E194" s="8">
        <v>103064224482.60001</v>
      </c>
      <c r="F194" s="9"/>
      <c r="G194" s="8">
        <v>1018598846.08075</v>
      </c>
      <c r="H194" s="10">
        <v>425.979158066857</v>
      </c>
      <c r="I194" s="9">
        <f t="shared" si="2"/>
        <v>6.1889575616266068E-2</v>
      </c>
      <c r="J194" s="4"/>
      <c r="K194" t="s">
        <v>14</v>
      </c>
    </row>
    <row r="195" spans="1:11" x14ac:dyDescent="0.2">
      <c r="A195" t="s">
        <v>12</v>
      </c>
      <c r="B195" t="s">
        <v>30</v>
      </c>
      <c r="C195" s="7">
        <v>45291</v>
      </c>
      <c r="D195" s="8">
        <v>32034797236.932899</v>
      </c>
      <c r="E195" s="8">
        <v>102472750412.89999</v>
      </c>
      <c r="F195" s="9"/>
      <c r="G195" s="8">
        <v>6423222719.5203505</v>
      </c>
      <c r="H195" s="10">
        <v>645.19406788320202</v>
      </c>
      <c r="I195" s="9">
        <f t="shared" ref="I195:I258" si="3">IF(B195=B194,IFERROR(H195/H194-1,""),"")</f>
        <v>0.51461416753619549</v>
      </c>
      <c r="J195" s="4"/>
      <c r="K195" t="s">
        <v>14</v>
      </c>
    </row>
    <row r="196" spans="1:11" x14ac:dyDescent="0.2">
      <c r="A196" t="s">
        <v>12</v>
      </c>
      <c r="B196" t="s">
        <v>30</v>
      </c>
      <c r="C196" s="7">
        <v>45657</v>
      </c>
      <c r="D196" s="8">
        <v>38612493466.598602</v>
      </c>
      <c r="E196" s="8">
        <v>108757630161.5</v>
      </c>
      <c r="F196" s="9"/>
      <c r="G196" s="8">
        <v>17215269315.543201</v>
      </c>
      <c r="H196" s="10">
        <v>1478.96519740023</v>
      </c>
      <c r="I196" s="9">
        <f t="shared" si="3"/>
        <v>1.2922795962035467</v>
      </c>
      <c r="J196" s="4"/>
      <c r="K196" t="s">
        <v>14</v>
      </c>
    </row>
    <row r="197" spans="1:11" x14ac:dyDescent="0.2">
      <c r="A197" t="s">
        <v>12</v>
      </c>
      <c r="B197" t="s">
        <v>31</v>
      </c>
      <c r="C197" s="7">
        <v>40543</v>
      </c>
      <c r="D197" s="8">
        <v>17255570039.570301</v>
      </c>
      <c r="E197" s="8">
        <v>63407877831.5</v>
      </c>
      <c r="F197" s="9"/>
      <c r="G197" s="8">
        <v>-1354000000</v>
      </c>
      <c r="H197" s="10">
        <v>85.193816325757595</v>
      </c>
      <c r="I197" s="9" t="str">
        <f t="shared" si="3"/>
        <v/>
      </c>
      <c r="J197" s="4"/>
      <c r="K197" t="s">
        <v>14</v>
      </c>
    </row>
    <row r="198" spans="1:11" x14ac:dyDescent="0.2">
      <c r="A198" t="s">
        <v>12</v>
      </c>
      <c r="B198" t="s">
        <v>31</v>
      </c>
      <c r="C198" s="7">
        <v>40908</v>
      </c>
      <c r="D198" s="8">
        <v>17697925812.377602</v>
      </c>
      <c r="E198" s="8">
        <v>65010917821.699997</v>
      </c>
      <c r="F198" s="9"/>
      <c r="G198" s="8">
        <v>-2207000000</v>
      </c>
      <c r="H198" s="10">
        <v>86.343383333333307</v>
      </c>
      <c r="I198" s="9">
        <f t="shared" si="3"/>
        <v>1.3493549850849273E-2</v>
      </c>
      <c r="J198" s="4"/>
      <c r="K198" t="s">
        <v>14</v>
      </c>
    </row>
    <row r="199" spans="1:11" x14ac:dyDescent="0.2">
      <c r="A199" t="s">
        <v>12</v>
      </c>
      <c r="B199" t="s">
        <v>31</v>
      </c>
      <c r="C199" s="7">
        <v>41274</v>
      </c>
      <c r="D199" s="8">
        <v>13688479776.3039</v>
      </c>
      <c r="E199" s="8">
        <v>63876676495.300003</v>
      </c>
      <c r="F199" s="9"/>
      <c r="G199" s="8">
        <v>-2342000000</v>
      </c>
      <c r="H199" s="10">
        <v>93.395197222222194</v>
      </c>
      <c r="I199" s="9">
        <f t="shared" si="3"/>
        <v>8.16717346095297E-2</v>
      </c>
      <c r="J199" s="4"/>
      <c r="K199" t="s">
        <v>14</v>
      </c>
    </row>
    <row r="200" spans="1:11" x14ac:dyDescent="0.2">
      <c r="A200" t="s">
        <v>12</v>
      </c>
      <c r="B200" t="s">
        <v>31</v>
      </c>
      <c r="C200" s="7">
        <v>41639</v>
      </c>
      <c r="D200" s="8">
        <v>7651260101.7205801</v>
      </c>
      <c r="E200" s="8">
        <v>60219473309</v>
      </c>
      <c r="F200" s="9"/>
      <c r="G200" s="8">
        <v>-4416000000</v>
      </c>
      <c r="H200" s="10">
        <v>101.628899206349</v>
      </c>
      <c r="I200" s="9">
        <f t="shared" si="3"/>
        <v>8.815980081433672E-2</v>
      </c>
      <c r="J200" s="4"/>
      <c r="K200" t="s">
        <v>14</v>
      </c>
    </row>
    <row r="201" spans="1:11" x14ac:dyDescent="0.2">
      <c r="A201" t="s">
        <v>12</v>
      </c>
      <c r="B201" t="s">
        <v>31</v>
      </c>
      <c r="C201" s="7">
        <v>42004</v>
      </c>
      <c r="D201" s="8">
        <v>14306811155.4783</v>
      </c>
      <c r="E201" s="8">
        <v>64281642245.599998</v>
      </c>
      <c r="F201" s="9"/>
      <c r="G201" s="8">
        <v>-3658000000</v>
      </c>
      <c r="H201" s="10">
        <v>101.100088423521</v>
      </c>
      <c r="I201" s="9">
        <f t="shared" si="3"/>
        <v>-5.2033504933896024E-3</v>
      </c>
      <c r="J201" s="4"/>
      <c r="K201" t="s">
        <v>14</v>
      </c>
    </row>
    <row r="202" spans="1:11" x14ac:dyDescent="0.2">
      <c r="A202" t="s">
        <v>12</v>
      </c>
      <c r="B202" t="s">
        <v>31</v>
      </c>
      <c r="C202" s="7">
        <v>42369</v>
      </c>
      <c r="D202" s="8">
        <v>20027864211.259701</v>
      </c>
      <c r="E202" s="8">
        <v>68673371108.599998</v>
      </c>
      <c r="F202" s="9"/>
      <c r="G202" s="8">
        <v>-2803000000</v>
      </c>
      <c r="H202" s="10">
        <v>102.769271604675</v>
      </c>
      <c r="I202" s="9">
        <f t="shared" si="3"/>
        <v>1.6510204958096297E-2</v>
      </c>
      <c r="J202" s="4"/>
      <c r="K202" t="s">
        <v>14</v>
      </c>
    </row>
    <row r="203" spans="1:11" x14ac:dyDescent="0.2">
      <c r="A203" t="s">
        <v>12</v>
      </c>
      <c r="B203" t="s">
        <v>31</v>
      </c>
      <c r="C203" s="7">
        <v>42735</v>
      </c>
      <c r="D203" s="8">
        <v>22027605269.523701</v>
      </c>
      <c r="E203" s="8">
        <v>75132689979.399994</v>
      </c>
      <c r="F203" s="9"/>
      <c r="G203" s="8">
        <v>-7190898000</v>
      </c>
      <c r="H203" s="10">
        <v>104.769117033301</v>
      </c>
      <c r="I203" s="9">
        <f t="shared" si="3"/>
        <v>1.9459566049264687E-2</v>
      </c>
      <c r="J203" s="4"/>
      <c r="K203" t="s">
        <v>14</v>
      </c>
    </row>
    <row r="204" spans="1:11" x14ac:dyDescent="0.2">
      <c r="A204" t="s">
        <v>12</v>
      </c>
      <c r="B204" t="s">
        <v>31</v>
      </c>
      <c r="C204" s="7">
        <v>43100</v>
      </c>
      <c r="D204" s="8">
        <v>18455861310.285999</v>
      </c>
      <c r="E204" s="8">
        <v>93080292741.600006</v>
      </c>
      <c r="F204" s="9"/>
      <c r="G204" s="8">
        <v>-16179621000</v>
      </c>
      <c r="H204" s="10">
        <v>105.45516208793801</v>
      </c>
      <c r="I204" s="9">
        <f t="shared" si="3"/>
        <v>6.5481610808932889E-3</v>
      </c>
      <c r="J204" s="4"/>
      <c r="K204" t="s">
        <v>14</v>
      </c>
    </row>
    <row r="205" spans="1:11" x14ac:dyDescent="0.2">
      <c r="A205" t="s">
        <v>12</v>
      </c>
      <c r="B205" t="s">
        <v>31</v>
      </c>
      <c r="C205" s="7">
        <v>43465</v>
      </c>
      <c r="D205" s="8">
        <v>11837177725.8521</v>
      </c>
      <c r="E205" s="8">
        <v>100120484567.5</v>
      </c>
      <c r="F205" s="9"/>
      <c r="G205" s="8">
        <v>-18858987000</v>
      </c>
      <c r="H205" s="10">
        <v>121.824068875756</v>
      </c>
      <c r="I205" s="9">
        <f t="shared" si="3"/>
        <v>0.1552214843135713</v>
      </c>
      <c r="J205" s="4"/>
      <c r="K205" t="s">
        <v>14</v>
      </c>
    </row>
    <row r="206" spans="1:11" x14ac:dyDescent="0.2">
      <c r="A206" t="s">
        <v>12</v>
      </c>
      <c r="B206" t="s">
        <v>31</v>
      </c>
      <c r="C206" s="7">
        <v>43830</v>
      </c>
      <c r="D206" s="8">
        <v>16586046186.2171</v>
      </c>
      <c r="E206" s="8">
        <v>110097413225.2</v>
      </c>
      <c r="F206" s="9"/>
      <c r="G206" s="8">
        <v>-8557928000</v>
      </c>
      <c r="H206" s="10">
        <v>150.036253839864</v>
      </c>
      <c r="I206" s="9">
        <f t="shared" si="3"/>
        <v>0.23158137159973369</v>
      </c>
      <c r="J206" s="4"/>
      <c r="K206" t="s">
        <v>14</v>
      </c>
    </row>
    <row r="207" spans="1:11" x14ac:dyDescent="0.2">
      <c r="A207" t="s">
        <v>12</v>
      </c>
      <c r="B207" t="s">
        <v>31</v>
      </c>
      <c r="C207" s="7">
        <v>44196</v>
      </c>
      <c r="D207" s="8">
        <v>18521734363.953098</v>
      </c>
      <c r="E207" s="8">
        <v>117948502847.7</v>
      </c>
      <c r="F207" s="9"/>
      <c r="G207" s="8">
        <v>-650874000.00000203</v>
      </c>
      <c r="H207" s="10">
        <v>161.83847968471801</v>
      </c>
      <c r="I207" s="9">
        <f t="shared" si="3"/>
        <v>7.8662493516071796E-2</v>
      </c>
      <c r="J207" s="4"/>
      <c r="K207" t="s">
        <v>14</v>
      </c>
    </row>
    <row r="208" spans="1:11" x14ac:dyDescent="0.2">
      <c r="A208" t="s">
        <v>12</v>
      </c>
      <c r="B208" t="s">
        <v>31</v>
      </c>
      <c r="C208" s="7">
        <v>44561</v>
      </c>
      <c r="D208" s="8">
        <v>22811522857.529499</v>
      </c>
      <c r="E208" s="8">
        <v>130752452005.8</v>
      </c>
      <c r="F208" s="9"/>
      <c r="G208" s="8">
        <v>-12283106000</v>
      </c>
      <c r="H208" s="10">
        <v>162.90625374741799</v>
      </c>
      <c r="I208" s="9">
        <f t="shared" si="3"/>
        <v>6.5977761579332217E-3</v>
      </c>
      <c r="J208" s="4"/>
      <c r="K208" t="s">
        <v>14</v>
      </c>
    </row>
    <row r="209" spans="1:12" x14ac:dyDescent="0.2">
      <c r="A209" t="s">
        <v>12</v>
      </c>
      <c r="B209" t="s">
        <v>31</v>
      </c>
      <c r="C209" s="7">
        <v>44926</v>
      </c>
      <c r="D209" s="8">
        <v>9926587077.2848892</v>
      </c>
      <c r="E209" s="8">
        <v>127601482349.2</v>
      </c>
      <c r="F209" s="9"/>
      <c r="G209" s="8">
        <v>-12216107000</v>
      </c>
      <c r="H209" s="10">
        <v>204.86718746998201</v>
      </c>
      <c r="I209" s="9">
        <f t="shared" si="3"/>
        <v>0.25757718170613253</v>
      </c>
      <c r="J209" s="4"/>
      <c r="K209" t="s">
        <v>14</v>
      </c>
    </row>
    <row r="210" spans="1:12" x14ac:dyDescent="0.2">
      <c r="A210" t="s">
        <v>12</v>
      </c>
      <c r="B210" t="s">
        <v>31</v>
      </c>
      <c r="C210" s="7">
        <v>45291</v>
      </c>
      <c r="D210" s="8">
        <v>13730353485.3454</v>
      </c>
      <c r="E210" s="8">
        <v>131021002940.10001</v>
      </c>
      <c r="F210" s="9"/>
      <c r="G210" s="8">
        <v>-1039115536.91011</v>
      </c>
      <c r="H210" s="10">
        <v>280.35611165514899</v>
      </c>
      <c r="I210" s="9">
        <f t="shared" si="3"/>
        <v>0.36847737852713935</v>
      </c>
      <c r="J210" s="4"/>
      <c r="K210" t="s">
        <v>14</v>
      </c>
    </row>
    <row r="211" spans="1:12" x14ac:dyDescent="0.2">
      <c r="A211" t="s">
        <v>12</v>
      </c>
      <c r="B211" t="s">
        <v>31</v>
      </c>
      <c r="C211" s="7">
        <v>45657</v>
      </c>
      <c r="D211" s="8">
        <v>18407745860.666599</v>
      </c>
      <c r="E211" s="8">
        <v>129717513746.7</v>
      </c>
      <c r="F211" s="9"/>
      <c r="G211" s="8">
        <v>496258550.70994401</v>
      </c>
      <c r="H211" s="10">
        <v>278.58071616756303</v>
      </c>
      <c r="I211" s="9">
        <f t="shared" si="3"/>
        <v>-6.3326441399993438E-3</v>
      </c>
      <c r="J211" s="4"/>
      <c r="K211" t="s">
        <v>15</v>
      </c>
      <c r="L211" t="s">
        <v>32</v>
      </c>
    </row>
    <row r="212" spans="1:12" x14ac:dyDescent="0.2">
      <c r="A212" t="s">
        <v>12</v>
      </c>
      <c r="B212" t="s">
        <v>33</v>
      </c>
      <c r="C212" s="7">
        <v>40543</v>
      </c>
      <c r="D212" s="8">
        <v>62326286864.552597</v>
      </c>
      <c r="E212" s="8">
        <v>65343964857</v>
      </c>
      <c r="F212" s="9">
        <v>50.196241476493803</v>
      </c>
      <c r="G212" s="8">
        <v>7179160967.11621</v>
      </c>
      <c r="H212" s="10">
        <v>45.109664180089602</v>
      </c>
      <c r="I212" s="9" t="str">
        <f t="shared" si="3"/>
        <v/>
      </c>
      <c r="J212" s="4"/>
      <c r="K212" t="s">
        <v>14</v>
      </c>
    </row>
    <row r="213" spans="1:12" x14ac:dyDescent="0.2">
      <c r="A213" t="s">
        <v>12</v>
      </c>
      <c r="B213" t="s">
        <v>33</v>
      </c>
      <c r="C213" s="7">
        <v>40908</v>
      </c>
      <c r="D213" s="8">
        <v>75123089217.141495</v>
      </c>
      <c r="E213" s="8">
        <v>65767801994.599998</v>
      </c>
      <c r="F213" s="9">
        <v>48.805848125457203</v>
      </c>
      <c r="G213" s="8">
        <v>5642727681.9982405</v>
      </c>
      <c r="H213" s="10">
        <v>43.3131369237488</v>
      </c>
      <c r="I213" s="9">
        <f t="shared" si="3"/>
        <v>-3.9825773234945738E-2</v>
      </c>
      <c r="J213" s="4"/>
      <c r="K213" t="s">
        <v>14</v>
      </c>
    </row>
    <row r="214" spans="1:12" x14ac:dyDescent="0.2">
      <c r="A214" t="s">
        <v>12</v>
      </c>
      <c r="B214" t="s">
        <v>33</v>
      </c>
      <c r="C214" s="7">
        <v>41274</v>
      </c>
      <c r="D214" s="8">
        <v>83788600500.613403</v>
      </c>
      <c r="E214" s="8">
        <v>68065636191.199997</v>
      </c>
      <c r="F214" s="9">
        <v>49.157455206704903</v>
      </c>
      <c r="G214" s="8">
        <v>6949480669.3138304</v>
      </c>
      <c r="H214" s="10">
        <v>42.228794734943399</v>
      </c>
      <c r="I214" s="9">
        <f t="shared" si="3"/>
        <v>-2.503494934376016E-2</v>
      </c>
      <c r="J214" s="4"/>
      <c r="K214" t="s">
        <v>14</v>
      </c>
    </row>
    <row r="215" spans="1:12" x14ac:dyDescent="0.2">
      <c r="A215" t="s">
        <v>12</v>
      </c>
      <c r="B215" t="s">
        <v>33</v>
      </c>
      <c r="C215" s="7">
        <v>41639</v>
      </c>
      <c r="D215" s="8">
        <v>83182370907.160294</v>
      </c>
      <c r="E215" s="8">
        <v>76726107578.899994</v>
      </c>
      <c r="F215" s="9">
        <v>47.144181857635203</v>
      </c>
      <c r="G215" s="8">
        <v>11383508584.5926</v>
      </c>
      <c r="H215" s="10">
        <v>42.446184830673999</v>
      </c>
      <c r="I215" s="9">
        <f t="shared" si="3"/>
        <v>5.1479114451427055E-3</v>
      </c>
      <c r="J215" s="4"/>
      <c r="K215" t="s">
        <v>14</v>
      </c>
    </row>
    <row r="216" spans="1:12" x14ac:dyDescent="0.2">
      <c r="A216" t="s">
        <v>12</v>
      </c>
      <c r="B216" t="s">
        <v>33</v>
      </c>
      <c r="C216" s="7">
        <v>42004</v>
      </c>
      <c r="D216" s="8">
        <v>79629428309.078003</v>
      </c>
      <c r="E216" s="8">
        <v>78697459572.600006</v>
      </c>
      <c r="F216" s="9">
        <v>43.426338941461999</v>
      </c>
      <c r="G216" s="8">
        <v>10755931842.777201</v>
      </c>
      <c r="H216" s="10">
        <v>44.395154304209697</v>
      </c>
      <c r="I216" s="9">
        <f t="shared" si="3"/>
        <v>4.5916246214130041E-2</v>
      </c>
      <c r="J216" s="4"/>
      <c r="K216" t="s">
        <v>14</v>
      </c>
    </row>
    <row r="217" spans="1:12" x14ac:dyDescent="0.2">
      <c r="A217" t="s">
        <v>12</v>
      </c>
      <c r="B217" t="s">
        <v>33</v>
      </c>
      <c r="C217" s="7">
        <v>42369</v>
      </c>
      <c r="D217" s="8">
        <v>80640411491.447006</v>
      </c>
      <c r="E217" s="8">
        <v>79698419388.100006</v>
      </c>
      <c r="F217" s="9"/>
      <c r="G217" s="8">
        <v>7265677953.8348103</v>
      </c>
      <c r="H217" s="10">
        <v>45.502839942143098</v>
      </c>
      <c r="I217" s="9">
        <f t="shared" si="3"/>
        <v>2.4950597768918392E-2</v>
      </c>
      <c r="J217" s="4"/>
      <c r="K217" t="s">
        <v>14</v>
      </c>
    </row>
    <row r="218" spans="1:12" x14ac:dyDescent="0.2">
      <c r="A218" t="s">
        <v>12</v>
      </c>
      <c r="B218" t="s">
        <v>33</v>
      </c>
      <c r="C218" s="7">
        <v>42735</v>
      </c>
      <c r="D218" s="8">
        <v>80666223156.983093</v>
      </c>
      <c r="E218" s="8">
        <v>75276875923.600006</v>
      </c>
      <c r="F218" s="9"/>
      <c r="G218" s="8">
        <v>-1198874442.0167401</v>
      </c>
      <c r="H218" s="10">
        <v>47.4924638585099</v>
      </c>
      <c r="I218" s="9">
        <f t="shared" si="3"/>
        <v>4.3725268991926969E-2</v>
      </c>
      <c r="J218" s="4"/>
      <c r="K218" t="s">
        <v>14</v>
      </c>
    </row>
    <row r="219" spans="1:12" x14ac:dyDescent="0.2">
      <c r="A219" t="s">
        <v>12</v>
      </c>
      <c r="B219" t="s">
        <v>33</v>
      </c>
      <c r="C219" s="7">
        <v>43100</v>
      </c>
      <c r="D219" s="8">
        <v>81413504334.449799</v>
      </c>
      <c r="E219" s="8">
        <v>73598354220.399994</v>
      </c>
      <c r="F219" s="9"/>
      <c r="G219" s="8">
        <v>-2142968677.37994</v>
      </c>
      <c r="H219" s="10">
        <v>50.403719793717698</v>
      </c>
      <c r="I219" s="9">
        <f t="shared" si="3"/>
        <v>6.1299324117633613E-2</v>
      </c>
      <c r="J219" s="4"/>
      <c r="K219" t="s">
        <v>14</v>
      </c>
    </row>
    <row r="220" spans="1:12" x14ac:dyDescent="0.2">
      <c r="A220" t="s">
        <v>12</v>
      </c>
      <c r="B220" t="s">
        <v>33</v>
      </c>
      <c r="C220" s="7">
        <v>43465</v>
      </c>
      <c r="D220" s="8">
        <v>79195598849.539993</v>
      </c>
      <c r="E220" s="8">
        <v>79219780497.699997</v>
      </c>
      <c r="F220" s="9"/>
      <c r="G220" s="8">
        <v>-8877047441.2657604</v>
      </c>
      <c r="H220" s="10">
        <v>52.661429953968302</v>
      </c>
      <c r="I220" s="9">
        <f t="shared" si="3"/>
        <v>4.4792530580887835E-2</v>
      </c>
      <c r="J220" s="4"/>
      <c r="K220" t="s">
        <v>14</v>
      </c>
    </row>
    <row r="221" spans="1:12" x14ac:dyDescent="0.2">
      <c r="A221" t="s">
        <v>12</v>
      </c>
      <c r="B221" t="s">
        <v>33</v>
      </c>
      <c r="C221" s="7">
        <v>43830</v>
      </c>
      <c r="D221" s="8">
        <v>89515298355.740204</v>
      </c>
      <c r="E221" s="8">
        <v>84368372551.899994</v>
      </c>
      <c r="F221" s="9"/>
      <c r="G221" s="8">
        <v>-3046835246.6567001</v>
      </c>
      <c r="H221" s="10">
        <v>51.795782651733298</v>
      </c>
      <c r="I221" s="9">
        <f t="shared" si="3"/>
        <v>-1.643797563020355E-2</v>
      </c>
      <c r="J221" s="4"/>
      <c r="K221" t="s">
        <v>14</v>
      </c>
    </row>
    <row r="222" spans="1:12" x14ac:dyDescent="0.2">
      <c r="A222" t="s">
        <v>12</v>
      </c>
      <c r="B222" t="s">
        <v>33</v>
      </c>
      <c r="C222" s="7">
        <v>44196</v>
      </c>
      <c r="D222" s="8">
        <v>109990274218.87399</v>
      </c>
      <c r="E222" s="8">
        <v>98504239510.899994</v>
      </c>
      <c r="F222" s="9"/>
      <c r="G222" s="8">
        <v>11578388370.885599</v>
      </c>
      <c r="H222" s="10">
        <v>49.624096002632797</v>
      </c>
      <c r="I222" s="9">
        <f t="shared" si="3"/>
        <v>-4.1927866284067528E-2</v>
      </c>
      <c r="J222" s="4"/>
      <c r="K222" t="s">
        <v>14</v>
      </c>
    </row>
    <row r="223" spans="1:12" x14ac:dyDescent="0.2">
      <c r="A223" t="s">
        <v>12</v>
      </c>
      <c r="B223" t="s">
        <v>33</v>
      </c>
      <c r="C223" s="7">
        <v>44561</v>
      </c>
      <c r="D223" s="8">
        <v>108754857244.20399</v>
      </c>
      <c r="E223" s="8">
        <v>106639207267.5</v>
      </c>
      <c r="F223" s="9"/>
      <c r="G223" s="8">
        <v>-5942749346.4591398</v>
      </c>
      <c r="H223" s="10">
        <v>49.254597728841198</v>
      </c>
      <c r="I223" s="9">
        <f t="shared" si="3"/>
        <v>-7.4459446832441101E-3</v>
      </c>
      <c r="J223" s="4"/>
      <c r="K223" t="s">
        <v>14</v>
      </c>
    </row>
    <row r="224" spans="1:12" x14ac:dyDescent="0.2">
      <c r="A224" t="s">
        <v>12</v>
      </c>
      <c r="B224" t="s">
        <v>33</v>
      </c>
      <c r="C224" s="7">
        <v>44926</v>
      </c>
      <c r="D224" s="8">
        <v>96040188240.930496</v>
      </c>
      <c r="E224" s="8">
        <v>110775513064.5</v>
      </c>
      <c r="F224" s="9"/>
      <c r="G224" s="8">
        <v>-18260831213.0154</v>
      </c>
      <c r="H224" s="10">
        <v>54.477785837204998</v>
      </c>
      <c r="I224" s="9">
        <f t="shared" si="3"/>
        <v>0.10604468108984966</v>
      </c>
      <c r="J224" s="4"/>
      <c r="K224" t="s">
        <v>14</v>
      </c>
    </row>
    <row r="225" spans="1:11" x14ac:dyDescent="0.2">
      <c r="A225" t="s">
        <v>12</v>
      </c>
      <c r="B225" t="s">
        <v>33</v>
      </c>
      <c r="C225" s="7">
        <v>45291</v>
      </c>
      <c r="D225" s="8">
        <v>103742233308.668</v>
      </c>
      <c r="E225" s="8">
        <v>124472460162.5</v>
      </c>
      <c r="F225" s="9"/>
      <c r="G225" s="8">
        <v>-12386685918.679501</v>
      </c>
      <c r="H225" s="10">
        <v>55.630363223193001</v>
      </c>
      <c r="I225" s="9">
        <f t="shared" si="3"/>
        <v>2.1156832427665639E-2</v>
      </c>
      <c r="J225" s="4"/>
      <c r="K225" t="s">
        <v>14</v>
      </c>
    </row>
    <row r="226" spans="1:11" x14ac:dyDescent="0.2">
      <c r="A226" t="s">
        <v>12</v>
      </c>
      <c r="B226" t="s">
        <v>33</v>
      </c>
      <c r="C226" s="7">
        <v>45657</v>
      </c>
      <c r="D226" s="8">
        <v>106195050244.09801</v>
      </c>
      <c r="E226" s="8">
        <v>137018240525.2</v>
      </c>
      <c r="F226" s="9"/>
      <c r="G226" s="8">
        <v>-18262196995.722801</v>
      </c>
      <c r="H226" s="10">
        <v>57.290655069973504</v>
      </c>
      <c r="I226" s="9">
        <f t="shared" si="3"/>
        <v>2.9845065726414433E-2</v>
      </c>
      <c r="J226" s="4"/>
      <c r="K226" t="s">
        <v>14</v>
      </c>
    </row>
    <row r="227" spans="1:11" x14ac:dyDescent="0.2">
      <c r="A227" t="s">
        <v>12</v>
      </c>
      <c r="B227" t="s">
        <v>34</v>
      </c>
      <c r="C227" s="7">
        <v>40543</v>
      </c>
      <c r="D227" s="8">
        <v>459313194915.43903</v>
      </c>
      <c r="E227" s="8"/>
      <c r="F227" s="9"/>
      <c r="G227" s="8">
        <v>71531813174.239899</v>
      </c>
      <c r="H227" s="10">
        <v>3.75</v>
      </c>
      <c r="I227" s="9" t="str">
        <f t="shared" si="3"/>
        <v/>
      </c>
      <c r="J227" s="4"/>
      <c r="K227" t="s">
        <v>14</v>
      </c>
    </row>
    <row r="228" spans="1:11" x14ac:dyDescent="0.2">
      <c r="A228" t="s">
        <v>12</v>
      </c>
      <c r="B228" t="s">
        <v>34</v>
      </c>
      <c r="C228" s="7">
        <v>40908</v>
      </c>
      <c r="D228" s="8">
        <v>556570950256.25598</v>
      </c>
      <c r="E228" s="8"/>
      <c r="F228" s="9"/>
      <c r="G228" s="8">
        <v>162552918255.37399</v>
      </c>
      <c r="H228" s="10">
        <v>3.75</v>
      </c>
      <c r="I228" s="9">
        <f t="shared" si="3"/>
        <v>0</v>
      </c>
      <c r="J228" s="4"/>
      <c r="K228" t="s">
        <v>14</v>
      </c>
    </row>
    <row r="229" spans="1:11" x14ac:dyDescent="0.2">
      <c r="A229" t="s">
        <v>12</v>
      </c>
      <c r="B229" t="s">
        <v>34</v>
      </c>
      <c r="C229" s="7">
        <v>41274</v>
      </c>
      <c r="D229" s="8">
        <v>673739616018.35901</v>
      </c>
      <c r="E229" s="8"/>
      <c r="F229" s="9"/>
      <c r="G229" s="8">
        <v>171802537611.05701</v>
      </c>
      <c r="H229" s="10">
        <v>3.75</v>
      </c>
      <c r="I229" s="9">
        <f t="shared" si="3"/>
        <v>0</v>
      </c>
      <c r="J229" s="4"/>
      <c r="K229" t="s">
        <v>14</v>
      </c>
    </row>
    <row r="230" spans="1:11" x14ac:dyDescent="0.2">
      <c r="A230" t="s">
        <v>12</v>
      </c>
      <c r="B230" t="s">
        <v>34</v>
      </c>
      <c r="C230" s="7">
        <v>41639</v>
      </c>
      <c r="D230" s="8">
        <v>737796355078.29004</v>
      </c>
      <c r="E230" s="8"/>
      <c r="F230" s="9"/>
      <c r="G230" s="8">
        <v>141060099571.91501</v>
      </c>
      <c r="H230" s="10">
        <v>3.75</v>
      </c>
      <c r="I230" s="9">
        <f t="shared" si="3"/>
        <v>0</v>
      </c>
      <c r="J230" s="4"/>
      <c r="K230" t="s">
        <v>14</v>
      </c>
    </row>
    <row r="231" spans="1:11" x14ac:dyDescent="0.2">
      <c r="A231" t="s">
        <v>12</v>
      </c>
      <c r="B231" t="s">
        <v>34</v>
      </c>
      <c r="C231" s="7">
        <v>42004</v>
      </c>
      <c r="D231" s="8">
        <v>744440513643.46204</v>
      </c>
      <c r="E231" s="8"/>
      <c r="F231" s="9"/>
      <c r="G231" s="8">
        <v>77650927639.554703</v>
      </c>
      <c r="H231" s="10">
        <v>3.75</v>
      </c>
      <c r="I231" s="9">
        <f t="shared" si="3"/>
        <v>0</v>
      </c>
      <c r="J231" s="4"/>
      <c r="K231" t="s">
        <v>14</v>
      </c>
    </row>
    <row r="232" spans="1:11" x14ac:dyDescent="0.2">
      <c r="A232" t="s">
        <v>12</v>
      </c>
      <c r="B232" t="s">
        <v>34</v>
      </c>
      <c r="C232" s="7">
        <v>42369</v>
      </c>
      <c r="D232" s="8">
        <v>626989686477.74194</v>
      </c>
      <c r="E232" s="8"/>
      <c r="F232" s="9"/>
      <c r="G232" s="8">
        <v>-55044502737.152802</v>
      </c>
      <c r="H232" s="10">
        <v>3.75</v>
      </c>
      <c r="I232" s="9">
        <f t="shared" si="3"/>
        <v>0</v>
      </c>
      <c r="J232" s="4"/>
      <c r="K232" t="s">
        <v>14</v>
      </c>
    </row>
    <row r="233" spans="1:11" x14ac:dyDescent="0.2">
      <c r="A233" t="s">
        <v>12</v>
      </c>
      <c r="B233" t="s">
        <v>34</v>
      </c>
      <c r="C233" s="7">
        <v>42735</v>
      </c>
      <c r="D233" s="8">
        <v>547266635919.12097</v>
      </c>
      <c r="E233" s="8"/>
      <c r="F233" s="9"/>
      <c r="G233" s="8">
        <v>-26969340111.775101</v>
      </c>
      <c r="H233" s="10">
        <v>3.75</v>
      </c>
      <c r="I233" s="9">
        <f t="shared" si="3"/>
        <v>0</v>
      </c>
      <c r="J233" s="4"/>
      <c r="K233" t="s">
        <v>14</v>
      </c>
    </row>
    <row r="234" spans="1:11" x14ac:dyDescent="0.2">
      <c r="A234" t="s">
        <v>12</v>
      </c>
      <c r="B234" t="s">
        <v>34</v>
      </c>
      <c r="C234" s="7">
        <v>43100</v>
      </c>
      <c r="D234" s="8">
        <v>509457096430.15601</v>
      </c>
      <c r="E234" s="8"/>
      <c r="F234" s="9"/>
      <c r="G234" s="8">
        <v>9083926600.5432491</v>
      </c>
      <c r="H234" s="10">
        <v>3.75</v>
      </c>
      <c r="I234" s="9">
        <f t="shared" si="3"/>
        <v>0</v>
      </c>
      <c r="J234" s="4"/>
      <c r="K234" t="s">
        <v>14</v>
      </c>
    </row>
    <row r="235" spans="1:11" x14ac:dyDescent="0.2">
      <c r="A235" t="s">
        <v>12</v>
      </c>
      <c r="B235" t="s">
        <v>34</v>
      </c>
      <c r="C235" s="7">
        <v>43465</v>
      </c>
      <c r="D235" s="8">
        <v>509468527336.47302</v>
      </c>
      <c r="E235" s="8"/>
      <c r="F235" s="9"/>
      <c r="G235" s="8">
        <v>70028933566.243607</v>
      </c>
      <c r="H235" s="10">
        <v>3.75</v>
      </c>
      <c r="I235" s="9">
        <f t="shared" si="3"/>
        <v>0</v>
      </c>
      <c r="J235" s="4"/>
      <c r="K235" t="s">
        <v>14</v>
      </c>
    </row>
    <row r="236" spans="1:11" x14ac:dyDescent="0.2">
      <c r="A236" t="s">
        <v>12</v>
      </c>
      <c r="B236" t="s">
        <v>34</v>
      </c>
      <c r="C236" s="7">
        <v>43830</v>
      </c>
      <c r="D236" s="8">
        <v>514962537825.302</v>
      </c>
      <c r="E236" s="8"/>
      <c r="F236" s="9"/>
      <c r="G236" s="8">
        <v>32398623534.486198</v>
      </c>
      <c r="H236" s="10">
        <v>3.75</v>
      </c>
      <c r="I236" s="9">
        <f t="shared" si="3"/>
        <v>0</v>
      </c>
      <c r="J236" s="4"/>
      <c r="K236" t="s">
        <v>14</v>
      </c>
    </row>
    <row r="237" spans="1:11" x14ac:dyDescent="0.2">
      <c r="A237" t="s">
        <v>12</v>
      </c>
      <c r="B237" t="s">
        <v>34</v>
      </c>
      <c r="C237" s="7">
        <v>44196</v>
      </c>
      <c r="D237" s="8">
        <v>472850970844.84601</v>
      </c>
      <c r="E237" s="8"/>
      <c r="F237" s="9"/>
      <c r="G237" s="8">
        <v>-34687750307.1511</v>
      </c>
      <c r="H237" s="10">
        <v>3.75</v>
      </c>
      <c r="I237" s="9">
        <f t="shared" si="3"/>
        <v>0</v>
      </c>
      <c r="J237" s="4"/>
      <c r="K237" t="s">
        <v>14</v>
      </c>
    </row>
    <row r="238" spans="1:11" x14ac:dyDescent="0.2">
      <c r="A238" t="s">
        <v>12</v>
      </c>
      <c r="B238" t="s">
        <v>34</v>
      </c>
      <c r="C238" s="7">
        <v>44561</v>
      </c>
      <c r="D238" s="8">
        <v>473889603512.93597</v>
      </c>
      <c r="E238" s="8"/>
      <c r="F238" s="9"/>
      <c r="G238" s="8">
        <v>44905279085.079697</v>
      </c>
      <c r="H238" s="10">
        <v>3.75</v>
      </c>
      <c r="I238" s="9">
        <f t="shared" si="3"/>
        <v>0</v>
      </c>
      <c r="J238" s="4"/>
      <c r="K238" t="s">
        <v>14</v>
      </c>
    </row>
    <row r="239" spans="1:11" x14ac:dyDescent="0.2">
      <c r="A239" t="s">
        <v>12</v>
      </c>
      <c r="B239" t="s">
        <v>34</v>
      </c>
      <c r="C239" s="7">
        <v>44926</v>
      </c>
      <c r="D239" s="8">
        <v>478231707665.70001</v>
      </c>
      <c r="E239" s="8"/>
      <c r="F239" s="9"/>
      <c r="G239" s="8">
        <v>145336719378.57199</v>
      </c>
      <c r="H239" s="10">
        <v>3.75</v>
      </c>
      <c r="I239" s="9">
        <f t="shared" si="3"/>
        <v>0</v>
      </c>
      <c r="J239" s="4"/>
      <c r="K239" t="s">
        <v>14</v>
      </c>
    </row>
    <row r="240" spans="1:11" x14ac:dyDescent="0.2">
      <c r="A240" t="s">
        <v>12</v>
      </c>
      <c r="B240" t="s">
        <v>34</v>
      </c>
      <c r="C240" s="7">
        <v>45291</v>
      </c>
      <c r="D240" s="8">
        <v>457948635287.48798</v>
      </c>
      <c r="E240" s="8"/>
      <c r="F240" s="9"/>
      <c r="G240" s="8">
        <v>25948146192.527401</v>
      </c>
      <c r="H240" s="10">
        <v>3.75</v>
      </c>
      <c r="I240" s="9">
        <f t="shared" si="3"/>
        <v>0</v>
      </c>
      <c r="J240" s="4"/>
      <c r="K240" t="s">
        <v>14</v>
      </c>
    </row>
    <row r="241" spans="1:12" x14ac:dyDescent="0.2">
      <c r="A241" t="s">
        <v>12</v>
      </c>
      <c r="B241" t="s">
        <v>34</v>
      </c>
      <c r="C241" s="7">
        <v>45657</v>
      </c>
      <c r="D241" s="8">
        <v>463869589071.02899</v>
      </c>
      <c r="E241" s="8"/>
      <c r="F241" s="9"/>
      <c r="G241" s="8">
        <v>-16254059643.409</v>
      </c>
      <c r="H241" s="10">
        <v>3.75</v>
      </c>
      <c r="I241" s="9">
        <f t="shared" si="3"/>
        <v>0</v>
      </c>
      <c r="J241" s="4"/>
      <c r="K241" t="s">
        <v>14</v>
      </c>
    </row>
    <row r="242" spans="1:12" x14ac:dyDescent="0.2">
      <c r="A242" t="s">
        <v>12</v>
      </c>
      <c r="B242" t="s">
        <v>35</v>
      </c>
      <c r="C242" s="7">
        <v>40543</v>
      </c>
      <c r="D242" s="8">
        <v>7195358507.0000095</v>
      </c>
      <c r="E242" s="8">
        <v>21684210688.5</v>
      </c>
      <c r="F242" s="9">
        <v>69.253025184180601</v>
      </c>
      <c r="G242" s="8">
        <v>-1075030000</v>
      </c>
      <c r="H242" s="10">
        <v>113.064480448821</v>
      </c>
      <c r="I242" s="9" t="str">
        <f t="shared" si="3"/>
        <v/>
      </c>
      <c r="J242" s="4"/>
      <c r="K242" t="s">
        <v>14</v>
      </c>
    </row>
    <row r="243" spans="1:12" x14ac:dyDescent="0.2">
      <c r="A243" t="s">
        <v>12</v>
      </c>
      <c r="B243" t="s">
        <v>35</v>
      </c>
      <c r="C243" s="7">
        <v>40908</v>
      </c>
      <c r="D243" s="8">
        <v>6739196545.0898104</v>
      </c>
      <c r="E243" s="8">
        <v>25795379781.099998</v>
      </c>
      <c r="F243" s="9">
        <v>68.525739405615795</v>
      </c>
      <c r="G243" s="8">
        <v>-4615420000</v>
      </c>
      <c r="H243" s="10">
        <v>110.56520785139701</v>
      </c>
      <c r="I243" s="9">
        <f t="shared" si="3"/>
        <v>-2.2104843072757063E-2</v>
      </c>
      <c r="J243" s="4"/>
      <c r="K243" t="s">
        <v>14</v>
      </c>
    </row>
    <row r="244" spans="1:12" x14ac:dyDescent="0.2">
      <c r="A244" t="s">
        <v>12</v>
      </c>
      <c r="B244" t="s">
        <v>35</v>
      </c>
      <c r="C244" s="7">
        <v>41274</v>
      </c>
      <c r="D244" s="8">
        <v>7106460348.6688404</v>
      </c>
      <c r="E244" s="8">
        <v>35735908567.5</v>
      </c>
      <c r="F244" s="9">
        <v>66.747235367113007</v>
      </c>
      <c r="G244" s="8">
        <v>-4009149851.0610199</v>
      </c>
      <c r="H244" s="10">
        <v>127.60335350681</v>
      </c>
      <c r="I244" s="9">
        <f t="shared" si="3"/>
        <v>0.15410042622370668</v>
      </c>
      <c r="J244" s="4"/>
      <c r="K244" t="s">
        <v>14</v>
      </c>
    </row>
    <row r="245" spans="1:12" x14ac:dyDescent="0.2">
      <c r="A245" t="s">
        <v>12</v>
      </c>
      <c r="B245" t="s">
        <v>35</v>
      </c>
      <c r="C245" s="7">
        <v>41639</v>
      </c>
      <c r="D245" s="8">
        <v>7500000871.5390301</v>
      </c>
      <c r="E245" s="8">
        <v>39316198514.400002</v>
      </c>
      <c r="F245" s="9">
        <v>68.353616559998102</v>
      </c>
      <c r="G245" s="8">
        <v>-2540575153.5173898</v>
      </c>
      <c r="H245" s="10">
        <v>129.06903093288801</v>
      </c>
      <c r="I245" s="9">
        <f t="shared" si="3"/>
        <v>1.1486198330985076E-2</v>
      </c>
      <c r="J245" s="4"/>
      <c r="K245" t="s">
        <v>14</v>
      </c>
    </row>
    <row r="246" spans="1:12" x14ac:dyDescent="0.2">
      <c r="A246" t="s">
        <v>12</v>
      </c>
      <c r="B246" t="s">
        <v>35</v>
      </c>
      <c r="C246" s="7">
        <v>42004</v>
      </c>
      <c r="D246" s="8">
        <v>8210750127.7415895</v>
      </c>
      <c r="E246" s="8">
        <v>42264361571.599998</v>
      </c>
      <c r="F246" s="9">
        <v>68.591042335771505</v>
      </c>
      <c r="G246" s="8">
        <v>-1987684224.2249899</v>
      </c>
      <c r="H246" s="10">
        <v>130.564685218829</v>
      </c>
      <c r="I246" s="9">
        <f t="shared" si="3"/>
        <v>1.1588018249851784E-2</v>
      </c>
      <c r="J246" s="4"/>
      <c r="K246" t="s">
        <v>14</v>
      </c>
    </row>
    <row r="247" spans="1:12" x14ac:dyDescent="0.2">
      <c r="A247" t="s">
        <v>12</v>
      </c>
      <c r="B247" t="s">
        <v>35</v>
      </c>
      <c r="C247" s="7">
        <v>42369</v>
      </c>
      <c r="D247" s="8">
        <v>7302096590.2238503</v>
      </c>
      <c r="E247" s="8">
        <v>43926833891.099998</v>
      </c>
      <c r="F247" s="9">
        <v>73.512659162445104</v>
      </c>
      <c r="G247" s="8">
        <v>-1882774083.9254401</v>
      </c>
      <c r="H247" s="10">
        <v>135.856912797089</v>
      </c>
      <c r="I247" s="9">
        <f t="shared" si="3"/>
        <v>4.0533376765624851E-2</v>
      </c>
      <c r="J247" s="4"/>
      <c r="K247" t="s">
        <v>14</v>
      </c>
    </row>
    <row r="248" spans="1:12" x14ac:dyDescent="0.2">
      <c r="A248" t="s">
        <v>12</v>
      </c>
      <c r="B248" t="s">
        <v>35</v>
      </c>
      <c r="C248" s="7">
        <v>42735</v>
      </c>
      <c r="D248" s="8">
        <v>6008199165.17799</v>
      </c>
      <c r="E248" s="8">
        <v>46662738616.199997</v>
      </c>
      <c r="F248" s="9"/>
      <c r="G248" s="8">
        <v>-1742399715.22894</v>
      </c>
      <c r="H248" s="10">
        <v>145.58166749202601</v>
      </c>
      <c r="I248" s="9">
        <f t="shared" si="3"/>
        <v>7.158086029425359E-2</v>
      </c>
      <c r="J248" s="4"/>
      <c r="K248" t="s">
        <v>14</v>
      </c>
    </row>
    <row r="249" spans="1:12" x14ac:dyDescent="0.2">
      <c r="A249" t="s">
        <v>12</v>
      </c>
      <c r="B249" t="s">
        <v>35</v>
      </c>
      <c r="C249" s="7">
        <v>43100</v>
      </c>
      <c r="D249" s="8">
        <v>7959047614.9367504</v>
      </c>
      <c r="E249" s="8">
        <v>50766665978.699997</v>
      </c>
      <c r="F249" s="9"/>
      <c r="G249" s="8">
        <v>-2308995623.0069599</v>
      </c>
      <c r="H249" s="10">
        <v>152.446413948767</v>
      </c>
      <c r="I249" s="9">
        <f t="shared" si="3"/>
        <v>4.7153921060266724E-2</v>
      </c>
      <c r="J249" s="4"/>
      <c r="K249" t="s">
        <v>14</v>
      </c>
    </row>
    <row r="250" spans="1:12" x14ac:dyDescent="0.2">
      <c r="A250" t="s">
        <v>12</v>
      </c>
      <c r="B250" t="s">
        <v>35</v>
      </c>
      <c r="C250" s="7">
        <v>43465</v>
      </c>
      <c r="D250" s="8">
        <v>6920825566.0999203</v>
      </c>
      <c r="E250" s="8">
        <v>52920652662.199997</v>
      </c>
      <c r="F250" s="9"/>
      <c r="G250" s="8">
        <v>-2799053065.55054</v>
      </c>
      <c r="H250" s="10">
        <v>162.46485873677801</v>
      </c>
      <c r="I250" s="9">
        <f t="shared" si="3"/>
        <v>6.5717812105294371E-2</v>
      </c>
      <c r="J250" s="4"/>
      <c r="K250" t="s">
        <v>14</v>
      </c>
    </row>
    <row r="251" spans="1:12" x14ac:dyDescent="0.2">
      <c r="A251" t="s">
        <v>12</v>
      </c>
      <c r="B251" t="s">
        <v>35</v>
      </c>
      <c r="C251" s="7">
        <v>43830</v>
      </c>
      <c r="D251" s="8">
        <v>7648305273.4244204</v>
      </c>
      <c r="E251" s="8">
        <v>56118735647</v>
      </c>
      <c r="F251" s="9"/>
      <c r="G251" s="8">
        <v>-1843400223.16081</v>
      </c>
      <c r="H251" s="10">
        <v>178.74492504584799</v>
      </c>
      <c r="I251" s="9">
        <f t="shared" si="3"/>
        <v>0.10020669353147071</v>
      </c>
      <c r="J251" s="4"/>
      <c r="K251" t="s">
        <v>14</v>
      </c>
    </row>
    <row r="252" spans="1:12" x14ac:dyDescent="0.2">
      <c r="A252" t="s">
        <v>12</v>
      </c>
      <c r="B252" t="s">
        <v>35</v>
      </c>
      <c r="C252" s="7">
        <v>44196</v>
      </c>
      <c r="D252" s="8">
        <v>5663994385.3278399</v>
      </c>
      <c r="E252" s="8">
        <v>56875086630.199997</v>
      </c>
      <c r="F252" s="9"/>
      <c r="G252" s="8">
        <v>-1187120153.2063501</v>
      </c>
      <c r="H252" s="10">
        <v>185.59255777221301</v>
      </c>
      <c r="I252" s="9">
        <f t="shared" si="3"/>
        <v>3.8309522491945414E-2</v>
      </c>
      <c r="J252" s="4"/>
      <c r="K252" t="s">
        <v>14</v>
      </c>
    </row>
    <row r="253" spans="1:12" x14ac:dyDescent="0.2">
      <c r="A253" t="s">
        <v>12</v>
      </c>
      <c r="B253" t="s">
        <v>35</v>
      </c>
      <c r="C253" s="7">
        <v>44561</v>
      </c>
      <c r="D253" s="8">
        <v>3136991506.3478699</v>
      </c>
      <c r="E253" s="8">
        <v>58741883598.099998</v>
      </c>
      <c r="F253" s="9"/>
      <c r="G253" s="8">
        <v>-3284272217.6883101</v>
      </c>
      <c r="H253" s="10">
        <v>198.76431684465601</v>
      </c>
      <c r="I253" s="9">
        <f t="shared" si="3"/>
        <v>7.0971375310260765E-2</v>
      </c>
      <c r="J253" s="4"/>
      <c r="K253" t="s">
        <v>14</v>
      </c>
    </row>
    <row r="254" spans="1:12" x14ac:dyDescent="0.2">
      <c r="A254" t="s">
        <v>12</v>
      </c>
      <c r="B254" t="s">
        <v>35</v>
      </c>
      <c r="C254" s="7">
        <v>44926</v>
      </c>
      <c r="D254" s="8">
        <v>1896231717.1584599</v>
      </c>
      <c r="E254" s="8">
        <v>58718751204.5</v>
      </c>
      <c r="F254" s="9"/>
      <c r="G254" s="8">
        <v>-1448453678.1342499</v>
      </c>
      <c r="H254" s="10">
        <v>322.63267425647501</v>
      </c>
      <c r="I254" s="9">
        <f t="shared" si="3"/>
        <v>0.62319212712927818</v>
      </c>
      <c r="J254" s="4"/>
      <c r="K254" t="s">
        <v>14</v>
      </c>
    </row>
    <row r="255" spans="1:12" x14ac:dyDescent="0.2">
      <c r="A255" t="s">
        <v>12</v>
      </c>
      <c r="B255" t="s">
        <v>35</v>
      </c>
      <c r="C255" s="7">
        <v>45291</v>
      </c>
      <c r="D255" s="8">
        <v>4405117005.0066204</v>
      </c>
      <c r="E255" s="8">
        <v>60544707010.400002</v>
      </c>
      <c r="F255" s="9"/>
      <c r="G255" s="8">
        <v>1439114685.9087701</v>
      </c>
      <c r="H255" s="10">
        <v>327.50653333333298</v>
      </c>
      <c r="I255" s="9">
        <f t="shared" si="3"/>
        <v>1.5106526603636983E-2</v>
      </c>
      <c r="J255" s="4"/>
      <c r="K255" t="s">
        <v>15</v>
      </c>
      <c r="L255" t="s">
        <v>16</v>
      </c>
    </row>
    <row r="256" spans="1:12" x14ac:dyDescent="0.2">
      <c r="A256" t="s">
        <v>12</v>
      </c>
      <c r="B256" t="s">
        <v>35</v>
      </c>
      <c r="C256" s="7">
        <v>45657</v>
      </c>
      <c r="D256" s="8">
        <v>6093946546.3743696</v>
      </c>
      <c r="E256" s="8">
        <v>56827528393.800003</v>
      </c>
      <c r="F256" s="9"/>
      <c r="G256" s="8">
        <v>1205836416.8733599</v>
      </c>
      <c r="H256" s="10"/>
      <c r="I256" s="9">
        <f t="shared" si="3"/>
        <v>-1</v>
      </c>
      <c r="J256" s="4"/>
      <c r="K256" t="s">
        <v>15</v>
      </c>
      <c r="L256" t="s">
        <v>16</v>
      </c>
    </row>
    <row r="257" spans="1:11" x14ac:dyDescent="0.2">
      <c r="A257" t="s">
        <v>12</v>
      </c>
      <c r="B257" t="s">
        <v>36</v>
      </c>
      <c r="C257" s="7">
        <v>40543</v>
      </c>
      <c r="D257" s="8">
        <v>9764265037.0778809</v>
      </c>
      <c r="E257" s="8">
        <v>22659417009.799999</v>
      </c>
      <c r="F257" s="9">
        <v>38.766000296343798</v>
      </c>
      <c r="G257" s="8">
        <v>-2104443202.45913</v>
      </c>
      <c r="H257" s="10">
        <v>1.4314</v>
      </c>
      <c r="I257" s="9" t="str">
        <f t="shared" si="3"/>
        <v/>
      </c>
      <c r="J257" s="4"/>
      <c r="K257" t="s">
        <v>14</v>
      </c>
    </row>
    <row r="258" spans="1:11" x14ac:dyDescent="0.2">
      <c r="A258" t="s">
        <v>12</v>
      </c>
      <c r="B258" t="s">
        <v>36</v>
      </c>
      <c r="C258" s="7">
        <v>40908</v>
      </c>
      <c r="D258" s="8">
        <v>7785305507.4305696</v>
      </c>
      <c r="E258" s="8">
        <v>22866532270</v>
      </c>
      <c r="F258" s="9">
        <v>42.480722450521903</v>
      </c>
      <c r="G258" s="8">
        <v>-3385748280.3935299</v>
      </c>
      <c r="H258" s="10">
        <v>1.4077833333333301</v>
      </c>
      <c r="I258" s="9">
        <f t="shared" si="3"/>
        <v>-1.6498998649343233E-2</v>
      </c>
      <c r="J258" s="4"/>
      <c r="K258" t="s">
        <v>14</v>
      </c>
    </row>
    <row r="259" spans="1:11" x14ac:dyDescent="0.2">
      <c r="A259" t="s">
        <v>12</v>
      </c>
      <c r="B259" t="s">
        <v>36</v>
      </c>
      <c r="C259" s="7">
        <v>41274</v>
      </c>
      <c r="D259" s="8">
        <v>8717830200.5489902</v>
      </c>
      <c r="E259" s="8">
        <v>25416510709.400002</v>
      </c>
      <c r="F259" s="9">
        <v>42.519754301017798</v>
      </c>
      <c r="G259" s="8">
        <v>-3721384859.1718302</v>
      </c>
      <c r="H259" s="10">
        <v>1.56189166666667</v>
      </c>
      <c r="I259" s="9">
        <f t="shared" ref="I259:I322" si="4">IF(B259=B258,IFERROR(H259/H258-1,""),"")</f>
        <v>0.10946878662673498</v>
      </c>
      <c r="J259" s="4"/>
      <c r="K259" t="s">
        <v>14</v>
      </c>
    </row>
    <row r="260" spans="1:11" x14ac:dyDescent="0.2">
      <c r="A260" t="s">
        <v>12</v>
      </c>
      <c r="B260" t="s">
        <v>36</v>
      </c>
      <c r="C260" s="7">
        <v>41639</v>
      </c>
      <c r="D260" s="8">
        <v>7550027499.8312197</v>
      </c>
      <c r="E260" s="8">
        <v>26262224742.900002</v>
      </c>
      <c r="F260" s="9"/>
      <c r="G260" s="8">
        <v>-3878661667.3249302</v>
      </c>
      <c r="H260" s="10">
        <v>1.62465833333333</v>
      </c>
      <c r="I260" s="9">
        <f t="shared" si="4"/>
        <v>4.0186312537676905E-2</v>
      </c>
      <c r="J260" s="4"/>
      <c r="K260" t="s">
        <v>14</v>
      </c>
    </row>
    <row r="261" spans="1:11" x14ac:dyDescent="0.2">
      <c r="A261" t="s">
        <v>12</v>
      </c>
      <c r="B261" t="s">
        <v>36</v>
      </c>
      <c r="C261" s="7">
        <v>42004</v>
      </c>
      <c r="D261" s="8">
        <v>7498010302.87675</v>
      </c>
      <c r="E261" s="8">
        <v>27595974477.900002</v>
      </c>
      <c r="F261" s="9"/>
      <c r="G261" s="8">
        <v>-4463103950.9917898</v>
      </c>
      <c r="H261" s="10">
        <v>1.697675</v>
      </c>
      <c r="I261" s="9">
        <f t="shared" si="4"/>
        <v>4.4942782841522755E-2</v>
      </c>
      <c r="J261" s="4"/>
      <c r="K261" t="s">
        <v>14</v>
      </c>
    </row>
    <row r="262" spans="1:11" x14ac:dyDescent="0.2">
      <c r="A262" t="s">
        <v>12</v>
      </c>
      <c r="B262" t="s">
        <v>36</v>
      </c>
      <c r="C262" s="7">
        <v>42369</v>
      </c>
      <c r="D262" s="8">
        <v>7559201960.2918901</v>
      </c>
      <c r="E262" s="8">
        <v>28197062216.099998</v>
      </c>
      <c r="F262" s="9"/>
      <c r="G262" s="8">
        <v>-3923736697.89077</v>
      </c>
      <c r="H262" s="10">
        <v>1.961625</v>
      </c>
      <c r="I262" s="9">
        <f t="shared" si="4"/>
        <v>0.15547734401460822</v>
      </c>
      <c r="J262" s="4"/>
      <c r="K262" t="s">
        <v>14</v>
      </c>
    </row>
    <row r="263" spans="1:11" x14ac:dyDescent="0.2">
      <c r="A263" t="s">
        <v>12</v>
      </c>
      <c r="B263" t="s">
        <v>36</v>
      </c>
      <c r="C263" s="7">
        <v>42735</v>
      </c>
      <c r="D263" s="8">
        <v>6137077790.0325899</v>
      </c>
      <c r="E263" s="8">
        <v>29527167044.599998</v>
      </c>
      <c r="F263" s="9"/>
      <c r="G263" s="8">
        <v>-3783414285.9359698</v>
      </c>
      <c r="H263" s="10">
        <v>2.1480333333333301</v>
      </c>
      <c r="I263" s="9">
        <f t="shared" si="4"/>
        <v>9.5027506956390839E-2</v>
      </c>
      <c r="J263" s="4"/>
      <c r="K263" t="s">
        <v>14</v>
      </c>
    </row>
    <row r="264" spans="1:11" x14ac:dyDescent="0.2">
      <c r="A264" t="s">
        <v>12</v>
      </c>
      <c r="B264" t="s">
        <v>36</v>
      </c>
      <c r="C264" s="7">
        <v>43100</v>
      </c>
      <c r="D264" s="8">
        <v>6143986079.6512604</v>
      </c>
      <c r="E264" s="8">
        <v>33714237269.700001</v>
      </c>
      <c r="F264" s="9"/>
      <c r="G264" s="8">
        <v>-4222408216.8283701</v>
      </c>
      <c r="H264" s="10">
        <v>2.4194249999999999</v>
      </c>
      <c r="I264" s="9">
        <f t="shared" si="4"/>
        <v>0.12634425288248341</v>
      </c>
      <c r="J264" s="4"/>
      <c r="K264" t="s">
        <v>14</v>
      </c>
    </row>
    <row r="265" spans="1:11" x14ac:dyDescent="0.2">
      <c r="A265" t="s">
        <v>12</v>
      </c>
      <c r="B265" t="s">
        <v>36</v>
      </c>
      <c r="C265" s="7">
        <v>43465</v>
      </c>
      <c r="D265" s="8">
        <v>5661370258.8902903</v>
      </c>
      <c r="E265" s="8">
        <v>35245100362.900002</v>
      </c>
      <c r="F265" s="9"/>
      <c r="G265" s="8">
        <v>-4607847184.7769499</v>
      </c>
      <c r="H265" s="10">
        <v>2.64686666666667</v>
      </c>
      <c r="I265" s="9">
        <f t="shared" si="4"/>
        <v>9.4006496033838705E-2</v>
      </c>
      <c r="J265" s="4"/>
      <c r="K265" t="s">
        <v>14</v>
      </c>
    </row>
    <row r="266" spans="1:11" x14ac:dyDescent="0.2">
      <c r="A266" t="s">
        <v>12</v>
      </c>
      <c r="B266" t="s">
        <v>36</v>
      </c>
      <c r="C266" s="7">
        <v>43830</v>
      </c>
      <c r="D266" s="8">
        <v>7919981404.8236504</v>
      </c>
      <c r="E266" s="8">
        <v>40224514020.400002</v>
      </c>
      <c r="F266" s="9"/>
      <c r="G266" s="8">
        <v>-3373037344.7241702</v>
      </c>
      <c r="H266" s="10">
        <v>2.9344333333333301</v>
      </c>
      <c r="I266" s="9">
        <f t="shared" si="4"/>
        <v>0.10864418305921197</v>
      </c>
      <c r="J266" s="4"/>
      <c r="K266" t="s">
        <v>14</v>
      </c>
    </row>
    <row r="267" spans="1:11" x14ac:dyDescent="0.2">
      <c r="A267" t="s">
        <v>12</v>
      </c>
      <c r="B267" t="s">
        <v>36</v>
      </c>
      <c r="C267" s="7">
        <v>44196</v>
      </c>
      <c r="D267" s="8">
        <v>9810630874.8262691</v>
      </c>
      <c r="E267" s="8">
        <v>41977373872</v>
      </c>
      <c r="F267" s="9"/>
      <c r="G267" s="8">
        <v>-2554750409.2301302</v>
      </c>
      <c r="H267" s="10">
        <v>2.81235833333333</v>
      </c>
      <c r="I267" s="9">
        <f t="shared" si="4"/>
        <v>-4.1600876943873377E-2</v>
      </c>
      <c r="J267" s="4"/>
      <c r="K267" t="s">
        <v>14</v>
      </c>
    </row>
    <row r="268" spans="1:11" x14ac:dyDescent="0.2">
      <c r="A268" t="s">
        <v>12</v>
      </c>
      <c r="B268" t="s">
        <v>36</v>
      </c>
      <c r="C268" s="7">
        <v>44561</v>
      </c>
      <c r="D268" s="8">
        <v>8845557076.3730392</v>
      </c>
      <c r="E268" s="8">
        <v>43022033493.300003</v>
      </c>
      <c r="F268" s="9"/>
      <c r="G268" s="8">
        <v>-2770055367.89955</v>
      </c>
      <c r="H268" s="10">
        <v>2.7944666666666702</v>
      </c>
      <c r="I268" s="9">
        <f t="shared" si="4"/>
        <v>-6.3618019277983384E-3</v>
      </c>
      <c r="J268" s="4"/>
      <c r="K268" t="s">
        <v>14</v>
      </c>
    </row>
    <row r="269" spans="1:11" x14ac:dyDescent="0.2">
      <c r="A269" t="s">
        <v>12</v>
      </c>
      <c r="B269" t="s">
        <v>36</v>
      </c>
      <c r="C269" s="7">
        <v>44926</v>
      </c>
      <c r="D269" s="8">
        <v>8094326708.9537802</v>
      </c>
      <c r="E269" s="8">
        <v>41041206300.800003</v>
      </c>
      <c r="F269" s="9"/>
      <c r="G269" s="8">
        <v>-3969241926.02495</v>
      </c>
      <c r="H269" s="10">
        <v>3.1036000000000001</v>
      </c>
      <c r="I269" s="9">
        <f t="shared" si="4"/>
        <v>0.11062337476441408</v>
      </c>
      <c r="J269" s="4"/>
      <c r="K269" t="s">
        <v>14</v>
      </c>
    </row>
    <row r="270" spans="1:11" x14ac:dyDescent="0.2">
      <c r="A270" t="s">
        <v>12</v>
      </c>
      <c r="B270" t="s">
        <v>36</v>
      </c>
      <c r="C270" s="7">
        <v>45291</v>
      </c>
      <c r="D270" s="8">
        <v>9239745488.4750595</v>
      </c>
      <c r="E270" s="8">
        <v>42407399347.300003</v>
      </c>
      <c r="F270" s="9"/>
      <c r="G270" s="8">
        <v>-1110513299.87519</v>
      </c>
      <c r="H270" s="10">
        <v>3.1061666666666699</v>
      </c>
      <c r="I270" s="9">
        <f t="shared" si="4"/>
        <v>8.2699660609275583E-4</v>
      </c>
      <c r="J270" s="4"/>
      <c r="K270" t="s">
        <v>14</v>
      </c>
    </row>
    <row r="271" spans="1:11" x14ac:dyDescent="0.2">
      <c r="A271" t="s">
        <v>12</v>
      </c>
      <c r="B271" t="s">
        <v>36</v>
      </c>
      <c r="C271" s="7">
        <v>45657</v>
      </c>
      <c r="D271" s="8">
        <v>9343597097.7579308</v>
      </c>
      <c r="E271" s="8">
        <v>40459855368.300003</v>
      </c>
      <c r="F271" s="9"/>
      <c r="G271" s="8">
        <v>-775300122.76715696</v>
      </c>
      <c r="H271" s="10">
        <v>3.10745</v>
      </c>
      <c r="I271" s="9">
        <f t="shared" si="4"/>
        <v>4.1315662391916419E-4</v>
      </c>
      <c r="J271" s="4"/>
      <c r="K271" t="s">
        <v>14</v>
      </c>
    </row>
    <row r="272" spans="1:11" x14ac:dyDescent="0.2">
      <c r="A272" t="s">
        <v>12</v>
      </c>
      <c r="B272" t="s">
        <v>37</v>
      </c>
      <c r="C272" s="7">
        <v>40543</v>
      </c>
      <c r="D272" s="8">
        <v>85959461665.982605</v>
      </c>
      <c r="E272" s="8">
        <v>316646701767.79999</v>
      </c>
      <c r="F272" s="9">
        <v>45.179741184519699</v>
      </c>
      <c r="G272" s="8">
        <v>-44625000000</v>
      </c>
      <c r="H272" s="10">
        <v>1.5028486296723</v>
      </c>
      <c r="I272" s="9" t="str">
        <f t="shared" si="4"/>
        <v/>
      </c>
      <c r="J272" s="4"/>
      <c r="K272" t="s">
        <v>14</v>
      </c>
    </row>
    <row r="273" spans="1:11" x14ac:dyDescent="0.2">
      <c r="A273" t="s">
        <v>12</v>
      </c>
      <c r="B273" t="s">
        <v>37</v>
      </c>
      <c r="C273" s="7">
        <v>40908</v>
      </c>
      <c r="D273" s="8">
        <v>87937253858.337997</v>
      </c>
      <c r="E273" s="8">
        <v>320983526166.79999</v>
      </c>
      <c r="F273" s="9">
        <v>39.969342535799001</v>
      </c>
      <c r="G273" s="8">
        <v>-74403000000</v>
      </c>
      <c r="H273" s="10">
        <v>1.67495455197133</v>
      </c>
      <c r="I273" s="9">
        <f t="shared" si="4"/>
        <v>0.11451979853523775</v>
      </c>
      <c r="J273" s="4"/>
      <c r="K273" t="s">
        <v>14</v>
      </c>
    </row>
    <row r="274" spans="1:11" x14ac:dyDescent="0.2">
      <c r="A274" t="s">
        <v>12</v>
      </c>
      <c r="B274" t="s">
        <v>37</v>
      </c>
      <c r="C274" s="7">
        <v>41274</v>
      </c>
      <c r="D274" s="8">
        <v>119182965975.41</v>
      </c>
      <c r="E274" s="8">
        <v>353395551599.79999</v>
      </c>
      <c r="F274" s="9">
        <v>37.6997174661117</v>
      </c>
      <c r="G274" s="8">
        <v>-41796000000</v>
      </c>
      <c r="H274" s="10">
        <v>1.7960009444135501</v>
      </c>
      <c r="I274" s="9">
        <f t="shared" si="4"/>
        <v>7.2268463821752782E-2</v>
      </c>
      <c r="J274" s="4"/>
      <c r="K274" t="s">
        <v>14</v>
      </c>
    </row>
    <row r="275" spans="1:11" x14ac:dyDescent="0.2">
      <c r="A275" t="s">
        <v>12</v>
      </c>
      <c r="B275" t="s">
        <v>37</v>
      </c>
      <c r="C275" s="7">
        <v>41639</v>
      </c>
      <c r="D275" s="8">
        <v>131053847400.85899</v>
      </c>
      <c r="E275" s="8">
        <v>402178071207.59998</v>
      </c>
      <c r="F275" s="9">
        <v>31.783646529000499</v>
      </c>
      <c r="G275" s="8">
        <v>-49329000000</v>
      </c>
      <c r="H275" s="10">
        <v>1.90376824244752</v>
      </c>
      <c r="I275" s="9">
        <f t="shared" si="4"/>
        <v>6.0004031940617431E-2</v>
      </c>
      <c r="J275" s="4"/>
      <c r="K275" t="s">
        <v>14</v>
      </c>
    </row>
    <row r="276" spans="1:11" x14ac:dyDescent="0.2">
      <c r="A276" t="s">
        <v>12</v>
      </c>
      <c r="B276" t="s">
        <v>37</v>
      </c>
      <c r="C276" s="7">
        <v>42004</v>
      </c>
      <c r="D276" s="8">
        <v>127421921235.759</v>
      </c>
      <c r="E276" s="8">
        <v>413804313727.09998</v>
      </c>
      <c r="F276" s="9">
        <v>31.120673502454601</v>
      </c>
      <c r="G276" s="8">
        <v>-32110000000</v>
      </c>
      <c r="H276" s="10">
        <v>2.1885424177547401</v>
      </c>
      <c r="I276" s="9">
        <f t="shared" si="4"/>
        <v>0.14958447617610693</v>
      </c>
      <c r="J276" s="4"/>
      <c r="K276" t="s">
        <v>14</v>
      </c>
    </row>
    <row r="277" spans="1:11" x14ac:dyDescent="0.2">
      <c r="A277" t="s">
        <v>12</v>
      </c>
      <c r="B277" t="s">
        <v>37</v>
      </c>
      <c r="C277" s="7">
        <v>42369</v>
      </c>
      <c r="D277" s="8">
        <v>110489628113.015</v>
      </c>
      <c r="E277" s="8">
        <v>399458974329.29999</v>
      </c>
      <c r="F277" s="9">
        <v>29.1451452655038</v>
      </c>
      <c r="G277" s="8">
        <v>-21354000000</v>
      </c>
      <c r="H277" s="10">
        <v>2.7200085279057902</v>
      </c>
      <c r="I277" s="9">
        <f t="shared" si="4"/>
        <v>0.2428402144913826</v>
      </c>
      <c r="J277" s="4"/>
      <c r="K277" t="s">
        <v>14</v>
      </c>
    </row>
    <row r="278" spans="1:11" x14ac:dyDescent="0.2">
      <c r="A278" t="s">
        <v>12</v>
      </c>
      <c r="B278" t="s">
        <v>37</v>
      </c>
      <c r="C278" s="7">
        <v>42735</v>
      </c>
      <c r="D278" s="8">
        <v>104810530764.478</v>
      </c>
      <c r="E278" s="8">
        <v>398941852378.29999</v>
      </c>
      <c r="F278" s="9">
        <v>30.075201418083701</v>
      </c>
      <c r="G278" s="8">
        <v>-22167000000</v>
      </c>
      <c r="H278" s="10">
        <v>3.0201347480804301</v>
      </c>
      <c r="I278" s="9">
        <f t="shared" si="4"/>
        <v>0.11034017617794589</v>
      </c>
      <c r="J278" s="4"/>
      <c r="K278" t="s">
        <v>14</v>
      </c>
    </row>
    <row r="279" spans="1:11" x14ac:dyDescent="0.2">
      <c r="A279" t="s">
        <v>12</v>
      </c>
      <c r="B279" t="s">
        <v>37</v>
      </c>
      <c r="C279" s="7">
        <v>43100</v>
      </c>
      <c r="D279" s="8">
        <v>107657025384.51601</v>
      </c>
      <c r="E279" s="8">
        <v>446932919001.70001</v>
      </c>
      <c r="F279" s="9">
        <v>29.5734179689365</v>
      </c>
      <c r="G279" s="8">
        <v>-35145000000</v>
      </c>
      <c r="H279" s="10">
        <v>3.6481326353686701</v>
      </c>
      <c r="I279" s="9">
        <f t="shared" si="4"/>
        <v>0.20793704244070232</v>
      </c>
      <c r="J279" s="4"/>
      <c r="K279" t="s">
        <v>14</v>
      </c>
    </row>
    <row r="280" spans="1:11" x14ac:dyDescent="0.2">
      <c r="A280" t="s">
        <v>12</v>
      </c>
      <c r="B280" t="s">
        <v>37</v>
      </c>
      <c r="C280" s="7">
        <v>43465</v>
      </c>
      <c r="D280" s="8">
        <v>92997230040.560501</v>
      </c>
      <c r="E280" s="8">
        <v>425763850698.79999</v>
      </c>
      <c r="F280" s="9">
        <v>29.399992709704101</v>
      </c>
      <c r="G280" s="8">
        <v>-14603000000</v>
      </c>
      <c r="H280" s="10">
        <v>4.8283701472094203</v>
      </c>
      <c r="I280" s="9">
        <f t="shared" si="4"/>
        <v>0.32351825709359905</v>
      </c>
      <c r="J280" s="4"/>
      <c r="K280" t="s">
        <v>14</v>
      </c>
    </row>
    <row r="281" spans="1:11" x14ac:dyDescent="0.2">
      <c r="A281" t="s">
        <v>12</v>
      </c>
      <c r="B281" t="s">
        <v>37</v>
      </c>
      <c r="C281" s="7">
        <v>43830</v>
      </c>
      <c r="D281" s="8">
        <v>105619672447.93401</v>
      </c>
      <c r="E281" s="8">
        <v>414340675661.90002</v>
      </c>
      <c r="F281" s="9">
        <v>33.460074464684098</v>
      </c>
      <c r="G281" s="8">
        <v>15014000000</v>
      </c>
      <c r="H281" s="10">
        <v>5.67381930843574</v>
      </c>
      <c r="I281" s="9">
        <f t="shared" si="4"/>
        <v>0.17510032069826931</v>
      </c>
      <c r="J281" s="4"/>
      <c r="K281" t="s">
        <v>14</v>
      </c>
    </row>
    <row r="282" spans="1:11" x14ac:dyDescent="0.2">
      <c r="A282" t="s">
        <v>12</v>
      </c>
      <c r="B282" t="s">
        <v>37</v>
      </c>
      <c r="C282" s="7">
        <v>44196</v>
      </c>
      <c r="D282" s="8">
        <v>93584577917.071503</v>
      </c>
      <c r="E282" s="8">
        <v>429283302461.70001</v>
      </c>
      <c r="F282" s="9">
        <v>41.039652380097799</v>
      </c>
      <c r="G282" s="8">
        <v>-30976000000</v>
      </c>
      <c r="H282" s="10">
        <v>7.0086054155852198</v>
      </c>
      <c r="I282" s="9">
        <f t="shared" si="4"/>
        <v>0.23525354520277753</v>
      </c>
      <c r="J282" s="4"/>
      <c r="K282" t="s">
        <v>14</v>
      </c>
    </row>
    <row r="283" spans="1:11" x14ac:dyDescent="0.2">
      <c r="A283" t="s">
        <v>12</v>
      </c>
      <c r="B283" t="s">
        <v>37</v>
      </c>
      <c r="C283" s="7">
        <v>44561</v>
      </c>
      <c r="D283" s="8">
        <v>111184882382.134</v>
      </c>
      <c r="E283" s="8">
        <v>434872791578.90002</v>
      </c>
      <c r="F283" s="9">
        <v>41.637512472512</v>
      </c>
      <c r="G283" s="8">
        <v>-6221000000</v>
      </c>
      <c r="H283" s="10">
        <v>8.8504075492831493</v>
      </c>
      <c r="I283" s="9">
        <f t="shared" si="4"/>
        <v>0.26279152905402059</v>
      </c>
      <c r="J283" s="4"/>
      <c r="K283" t="s">
        <v>14</v>
      </c>
    </row>
    <row r="284" spans="1:11" x14ac:dyDescent="0.2">
      <c r="A284" t="s">
        <v>12</v>
      </c>
      <c r="B284" t="s">
        <v>37</v>
      </c>
      <c r="C284" s="7">
        <v>44926</v>
      </c>
      <c r="D284" s="8">
        <v>128735003395.89301</v>
      </c>
      <c r="E284" s="8">
        <v>455963245504.70001</v>
      </c>
      <c r="F284" s="9">
        <v>35.330084374705102</v>
      </c>
      <c r="G284" s="8">
        <v>-46283000000</v>
      </c>
      <c r="H284" s="10">
        <v>16.548860417306699</v>
      </c>
      <c r="I284" s="9">
        <f t="shared" si="4"/>
        <v>0.8698416231292192</v>
      </c>
      <c r="J284" s="4"/>
      <c r="K284" t="s">
        <v>14</v>
      </c>
    </row>
    <row r="285" spans="1:11" x14ac:dyDescent="0.2">
      <c r="A285" t="s">
        <v>12</v>
      </c>
      <c r="B285" t="s">
        <v>37</v>
      </c>
      <c r="C285" s="7">
        <v>45291</v>
      </c>
      <c r="D285" s="8">
        <v>140868480001.69601</v>
      </c>
      <c r="E285" s="8">
        <v>499814231476.70001</v>
      </c>
      <c r="F285" s="9">
        <v>33.254836024152603</v>
      </c>
      <c r="G285" s="8">
        <v>-39877000000</v>
      </c>
      <c r="H285" s="10">
        <v>23.738566121991798</v>
      </c>
      <c r="I285" s="9">
        <f t="shared" si="4"/>
        <v>0.43445322054720759</v>
      </c>
      <c r="J285" s="4"/>
      <c r="K285" t="s">
        <v>14</v>
      </c>
    </row>
    <row r="286" spans="1:11" x14ac:dyDescent="0.2">
      <c r="A286" t="s">
        <v>12</v>
      </c>
      <c r="B286" t="s">
        <v>37</v>
      </c>
      <c r="C286" s="7">
        <v>45657</v>
      </c>
      <c r="D286" s="8">
        <v>154773780178.16901</v>
      </c>
      <c r="E286" s="8">
        <v>514989218110.79999</v>
      </c>
      <c r="F286" s="9">
        <v>26.619234484366601</v>
      </c>
      <c r="G286" s="8">
        <v>-10193000000</v>
      </c>
      <c r="H286" s="10">
        <v>32.805861443270302</v>
      </c>
      <c r="I286" s="9">
        <f t="shared" si="4"/>
        <v>0.38196474356041299</v>
      </c>
      <c r="J286" s="4"/>
      <c r="K286" t="s">
        <v>14</v>
      </c>
    </row>
    <row r="287" spans="1:11" x14ac:dyDescent="0.2">
      <c r="A287" t="s">
        <v>12</v>
      </c>
      <c r="B287" t="s">
        <v>38</v>
      </c>
      <c r="C287" s="7">
        <v>40543</v>
      </c>
      <c r="D287" s="8">
        <v>2093753266.11924</v>
      </c>
      <c r="E287" s="8">
        <v>4320702678.3000002</v>
      </c>
      <c r="F287" s="9">
        <v>17.321511483705098</v>
      </c>
      <c r="G287" s="8">
        <v>1525082951.62676</v>
      </c>
      <c r="H287" s="10">
        <v>4.7975000000000003</v>
      </c>
      <c r="I287" s="9" t="str">
        <f t="shared" si="4"/>
        <v/>
      </c>
      <c r="J287" s="4"/>
      <c r="K287" t="s">
        <v>14</v>
      </c>
    </row>
    <row r="288" spans="1:11" x14ac:dyDescent="0.2">
      <c r="A288" t="s">
        <v>12</v>
      </c>
      <c r="B288" t="s">
        <v>38</v>
      </c>
      <c r="C288" s="7">
        <v>40908</v>
      </c>
      <c r="D288" s="8">
        <v>2324018126.65836</v>
      </c>
      <c r="E288" s="8">
        <v>5199610016.1000004</v>
      </c>
      <c r="F288" s="9">
        <v>18.049909361349801</v>
      </c>
      <c r="G288" s="8">
        <v>1092799716.8181601</v>
      </c>
      <c r="H288" s="10">
        <v>4.8616666666666699</v>
      </c>
      <c r="I288" s="9">
        <f t="shared" si="4"/>
        <v>1.3375021712698221E-2</v>
      </c>
      <c r="J288" s="4"/>
      <c r="K288" t="s">
        <v>14</v>
      </c>
    </row>
    <row r="289" spans="1:11" x14ac:dyDescent="0.2">
      <c r="A289" t="s">
        <v>12</v>
      </c>
      <c r="B289" t="s">
        <v>38</v>
      </c>
      <c r="C289" s="7">
        <v>41274</v>
      </c>
      <c r="D289" s="8">
        <v>3042223849.4281301</v>
      </c>
      <c r="E289" s="8">
        <v>6181891104.6000004</v>
      </c>
      <c r="F289" s="9">
        <v>23.488919280380099</v>
      </c>
      <c r="G289" s="8">
        <v>1371805759.2277801</v>
      </c>
      <c r="H289" s="10">
        <v>5.1475</v>
      </c>
      <c r="I289" s="9">
        <f t="shared" si="4"/>
        <v>5.879328076791146E-2</v>
      </c>
      <c r="J289" s="4"/>
      <c r="K289" t="s">
        <v>14</v>
      </c>
    </row>
    <row r="290" spans="1:11" x14ac:dyDescent="0.2">
      <c r="A290" t="s">
        <v>12</v>
      </c>
      <c r="B290" t="s">
        <v>38</v>
      </c>
      <c r="C290" s="7">
        <v>41639</v>
      </c>
      <c r="D290" s="8">
        <v>2683813403.45787</v>
      </c>
      <c r="E290" s="8">
        <v>6668587065.3000002</v>
      </c>
      <c r="F290" s="9">
        <v>24.223994145284198</v>
      </c>
      <c r="G290" s="8">
        <v>-161482092.97400001</v>
      </c>
      <c r="H290" s="10">
        <v>5.3964833333333297</v>
      </c>
      <c r="I290" s="9">
        <f t="shared" si="4"/>
        <v>4.8369758782579764E-2</v>
      </c>
      <c r="J290" s="4"/>
      <c r="K290" t="s">
        <v>14</v>
      </c>
    </row>
    <row r="291" spans="1:11" x14ac:dyDescent="0.2">
      <c r="A291" t="s">
        <v>12</v>
      </c>
      <c r="B291" t="s">
        <v>38</v>
      </c>
      <c r="C291" s="7">
        <v>42004</v>
      </c>
      <c r="D291" s="8">
        <v>3078362296.8434801</v>
      </c>
      <c r="E291" s="8">
        <v>9650598727</v>
      </c>
      <c r="F291" s="9">
        <v>44.395867586933498</v>
      </c>
      <c r="G291" s="8">
        <v>-387327907.89247</v>
      </c>
      <c r="H291" s="10">
        <v>6.1541666666666703</v>
      </c>
      <c r="I291" s="9">
        <f t="shared" si="4"/>
        <v>0.14040316378876505</v>
      </c>
      <c r="J291" s="4"/>
      <c r="K291" t="s">
        <v>14</v>
      </c>
    </row>
    <row r="292" spans="1:11" x14ac:dyDescent="0.2">
      <c r="A292" t="s">
        <v>12</v>
      </c>
      <c r="B292" t="s">
        <v>38</v>
      </c>
      <c r="C292" s="7">
        <v>42369</v>
      </c>
      <c r="D292" s="8">
        <v>2967626716.4320598</v>
      </c>
      <c r="E292" s="8">
        <v>12310774475.799999</v>
      </c>
      <c r="F292" s="9">
        <v>49.407347347871401</v>
      </c>
      <c r="G292" s="8">
        <v>-767651770.97102404</v>
      </c>
      <c r="H292" s="10">
        <v>8.6316666666666695</v>
      </c>
      <c r="I292" s="9">
        <f t="shared" si="4"/>
        <v>0.40257278266756913</v>
      </c>
      <c r="J292" s="4"/>
      <c r="K292" t="s">
        <v>14</v>
      </c>
    </row>
    <row r="293" spans="1:11" x14ac:dyDescent="0.2">
      <c r="A293" t="s">
        <v>12</v>
      </c>
      <c r="B293" t="s">
        <v>38</v>
      </c>
      <c r="C293" s="7">
        <v>42735</v>
      </c>
      <c r="D293" s="8">
        <v>2352719004.1027098</v>
      </c>
      <c r="E293" s="8">
        <v>15755769971.200001</v>
      </c>
      <c r="F293" s="9">
        <v>46.432893594572803</v>
      </c>
      <c r="G293" s="8">
        <v>-953961606.22066605</v>
      </c>
      <c r="H293" s="10">
        <v>10.307499999999999</v>
      </c>
      <c r="I293" s="9">
        <f t="shared" si="4"/>
        <v>0.19414944970071391</v>
      </c>
      <c r="J293" s="4"/>
      <c r="K293" t="s">
        <v>14</v>
      </c>
    </row>
    <row r="294" spans="1:11" x14ac:dyDescent="0.2">
      <c r="A294" t="s">
        <v>12</v>
      </c>
      <c r="B294" t="s">
        <v>38</v>
      </c>
      <c r="C294" s="7">
        <v>43100</v>
      </c>
      <c r="D294" s="8">
        <v>2082083919.53427</v>
      </c>
      <c r="E294" s="8">
        <v>23739237630.400002</v>
      </c>
      <c r="F294" s="9">
        <v>52.280941840066298</v>
      </c>
      <c r="G294" s="8">
        <v>-435005244.99617201</v>
      </c>
      <c r="H294" s="10">
        <v>9.5175000000000001</v>
      </c>
      <c r="I294" s="9">
        <f t="shared" si="4"/>
        <v>-7.6643220955614821E-2</v>
      </c>
      <c r="J294" s="4"/>
      <c r="K294" t="s">
        <v>14</v>
      </c>
    </row>
    <row r="295" spans="1:11" x14ac:dyDescent="0.2">
      <c r="A295" t="s">
        <v>12</v>
      </c>
      <c r="B295" t="s">
        <v>38</v>
      </c>
      <c r="C295" s="7">
        <v>43465</v>
      </c>
      <c r="D295" s="8">
        <v>1569229906.1310201</v>
      </c>
      <c r="E295" s="8">
        <v>24615978773.900002</v>
      </c>
      <c r="F295" s="9">
        <v>59.712221166501003</v>
      </c>
      <c r="G295" s="8">
        <v>-342356590.78912598</v>
      </c>
      <c r="H295" s="10">
        <v>10.4583333333333</v>
      </c>
      <c r="I295" s="9">
        <f t="shared" si="4"/>
        <v>9.8852990105941618E-2</v>
      </c>
      <c r="J295" s="4"/>
      <c r="K295" t="s">
        <v>14</v>
      </c>
    </row>
    <row r="296" spans="1:11" x14ac:dyDescent="0.2">
      <c r="A296" t="s">
        <v>12</v>
      </c>
      <c r="B296" t="s">
        <v>38</v>
      </c>
      <c r="C296" s="7">
        <v>43830</v>
      </c>
      <c r="D296" s="8">
        <v>1448624290.1989901</v>
      </c>
      <c r="E296" s="8">
        <v>29396610676.799999</v>
      </c>
      <c r="F296" s="9">
        <v>61.930117369573402</v>
      </c>
      <c r="G296" s="8">
        <v>140712285.04961199</v>
      </c>
      <c r="H296" s="10">
        <v>12.89</v>
      </c>
      <c r="I296" s="9">
        <f t="shared" si="4"/>
        <v>0.23250996015936654</v>
      </c>
      <c r="J296" s="4"/>
      <c r="K296" t="s">
        <v>14</v>
      </c>
    </row>
    <row r="297" spans="1:11" x14ac:dyDescent="0.2">
      <c r="A297" t="s">
        <v>12</v>
      </c>
      <c r="B297" t="s">
        <v>38</v>
      </c>
      <c r="C297" s="7">
        <v>44196</v>
      </c>
      <c r="D297" s="8">
        <v>1203448374.22209</v>
      </c>
      <c r="E297" s="8">
        <v>29531412127.700001</v>
      </c>
      <c r="F297" s="9">
        <v>103.543152350363</v>
      </c>
      <c r="G297" s="8">
        <v>2138616083.7186799</v>
      </c>
      <c r="H297" s="10">
        <v>18.344092645337899</v>
      </c>
      <c r="I297" s="9">
        <f t="shared" si="4"/>
        <v>0.42312588404483309</v>
      </c>
      <c r="J297" s="4"/>
      <c r="K297" t="s">
        <v>14</v>
      </c>
    </row>
    <row r="298" spans="1:11" x14ac:dyDescent="0.2">
      <c r="A298" t="s">
        <v>12</v>
      </c>
      <c r="B298" t="s">
        <v>38</v>
      </c>
      <c r="C298" s="7">
        <v>44561</v>
      </c>
      <c r="D298" s="8">
        <v>2753875454.2911901</v>
      </c>
      <c r="E298" s="8">
        <v>26943470807.400002</v>
      </c>
      <c r="F298" s="9">
        <v>71.411176174959294</v>
      </c>
      <c r="G298" s="8">
        <v>2629551251.4443798</v>
      </c>
      <c r="H298" s="10">
        <v>20.018486585968802</v>
      </c>
      <c r="I298" s="9">
        <f t="shared" si="4"/>
        <v>9.1277010697852434E-2</v>
      </c>
      <c r="J298" s="4"/>
      <c r="K298" t="s">
        <v>14</v>
      </c>
    </row>
    <row r="299" spans="1:11" x14ac:dyDescent="0.2">
      <c r="A299" t="s">
        <v>12</v>
      </c>
      <c r="B299" t="s">
        <v>38</v>
      </c>
      <c r="C299" s="7">
        <v>44926</v>
      </c>
      <c r="D299" s="8">
        <v>2967565317.1942</v>
      </c>
      <c r="E299" s="8">
        <v>28423406214.599998</v>
      </c>
      <c r="F299" s="9"/>
      <c r="G299" s="8">
        <v>1093013821.9934101</v>
      </c>
      <c r="H299" s="10">
        <v>16.9375943252989</v>
      </c>
      <c r="I299" s="9">
        <f t="shared" si="4"/>
        <v>-0.15390235657621276</v>
      </c>
      <c r="J299" s="4"/>
      <c r="K299" t="s">
        <v>14</v>
      </c>
    </row>
    <row r="300" spans="1:11" x14ac:dyDescent="0.2">
      <c r="A300" t="s">
        <v>12</v>
      </c>
      <c r="B300" t="s">
        <v>38</v>
      </c>
      <c r="C300" s="7">
        <v>45291</v>
      </c>
      <c r="D300" s="8">
        <v>3173177777.1366</v>
      </c>
      <c r="E300" s="8">
        <v>29076512018.799999</v>
      </c>
      <c r="F300" s="9"/>
      <c r="G300" s="8">
        <v>-837683232.29249299</v>
      </c>
      <c r="H300" s="10">
        <v>20.212017866195001</v>
      </c>
      <c r="I300" s="9">
        <f t="shared" si="4"/>
        <v>0.19332282247457355</v>
      </c>
      <c r="J300" s="4"/>
      <c r="K300" t="s">
        <v>14</v>
      </c>
    </row>
    <row r="301" spans="1:11" x14ac:dyDescent="0.2">
      <c r="A301" t="s">
        <v>12</v>
      </c>
      <c r="B301" t="s">
        <v>38</v>
      </c>
      <c r="C301" s="7">
        <v>45657</v>
      </c>
      <c r="D301" s="8"/>
      <c r="E301" s="8">
        <v>28117735300.5</v>
      </c>
      <c r="F301" s="9"/>
      <c r="G301" s="8">
        <v>-487394443.417557</v>
      </c>
      <c r="H301" s="10">
        <v>26.166418781225701</v>
      </c>
      <c r="I301" s="9">
        <f t="shared" si="4"/>
        <v>0.29459705381467893</v>
      </c>
      <c r="J301" s="4"/>
      <c r="K301" t="s">
        <v>14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showGridLines="0" workbookViewId="0"/>
  </sheetViews>
  <sheetFormatPr baseColWidth="10" defaultColWidth="8.83203125" defaultRowHeight="15" x14ac:dyDescent="0.2"/>
  <cols>
    <col min="1" max="1" width="14" customWidth="1"/>
    <col min="2" max="2" width="18" customWidth="1"/>
    <col min="3" max="3" width="20" customWidth="1"/>
    <col min="4" max="4" width="12" customWidth="1"/>
    <col min="5" max="5" width="24" customWidth="1"/>
    <col min="6" max="7" width="20" customWidth="1"/>
    <col min="8" max="8" width="16" customWidth="1"/>
  </cols>
  <sheetData>
    <row r="1" spans="1:8" x14ac:dyDescent="0.2">
      <c r="A1" s="6" t="s">
        <v>0</v>
      </c>
      <c r="B1" s="6" t="s">
        <v>39</v>
      </c>
      <c r="C1" s="6" t="s">
        <v>40</v>
      </c>
      <c r="D1" s="6" t="s">
        <v>2</v>
      </c>
      <c r="E1" s="6" t="s">
        <v>41</v>
      </c>
      <c r="F1" s="6" t="s">
        <v>42</v>
      </c>
      <c r="G1" s="6" t="s">
        <v>43</v>
      </c>
      <c r="H1" s="6" t="s">
        <v>44</v>
      </c>
    </row>
    <row r="2" spans="1:8" x14ac:dyDescent="0.2">
      <c r="A2" t="s">
        <v>12</v>
      </c>
      <c r="B2" t="s">
        <v>45</v>
      </c>
      <c r="C2" t="s">
        <v>46</v>
      </c>
      <c r="D2" s="7">
        <v>42735</v>
      </c>
      <c r="E2" s="11">
        <v>52500</v>
      </c>
      <c r="F2" s="9"/>
      <c r="G2" s="9"/>
      <c r="H2" t="s">
        <v>47</v>
      </c>
    </row>
    <row r="3" spans="1:8" x14ac:dyDescent="0.2">
      <c r="A3" t="s">
        <v>12</v>
      </c>
      <c r="B3" t="s">
        <v>45</v>
      </c>
      <c r="C3" t="s">
        <v>46</v>
      </c>
      <c r="D3" s="7">
        <v>42825</v>
      </c>
      <c r="E3" s="11">
        <v>52316</v>
      </c>
      <c r="F3" s="9">
        <f t="shared" ref="F3:F34" si="0">IF(AND(B3=B2,C3=C2),IFERROR(E3/E2-1,""),"")</f>
        <v>-3.5047619047618994E-3</v>
      </c>
      <c r="G3" s="9"/>
      <c r="H3" t="s">
        <v>47</v>
      </c>
    </row>
    <row r="4" spans="1:8" x14ac:dyDescent="0.2">
      <c r="A4" t="s">
        <v>12</v>
      </c>
      <c r="B4" t="s">
        <v>45</v>
      </c>
      <c r="C4" t="s">
        <v>46</v>
      </c>
      <c r="D4" s="7">
        <v>42916</v>
      </c>
      <c r="E4" s="11">
        <v>51830</v>
      </c>
      <c r="F4" s="9">
        <f t="shared" si="0"/>
        <v>-9.2897010474807251E-3</v>
      </c>
      <c r="G4" s="9"/>
      <c r="H4" t="s">
        <v>47</v>
      </c>
    </row>
    <row r="5" spans="1:8" x14ac:dyDescent="0.2">
      <c r="A5" t="s">
        <v>12</v>
      </c>
      <c r="B5" t="s">
        <v>45</v>
      </c>
      <c r="C5" t="s">
        <v>46</v>
      </c>
      <c r="D5" s="7">
        <v>43008</v>
      </c>
      <c r="E5" s="11">
        <v>51541</v>
      </c>
      <c r="F5" s="9">
        <f t="shared" si="0"/>
        <v>-5.5759212811112846E-3</v>
      </c>
      <c r="G5" s="9"/>
      <c r="H5" t="s">
        <v>47</v>
      </c>
    </row>
    <row r="6" spans="1:8" x14ac:dyDescent="0.2">
      <c r="A6" t="s">
        <v>12</v>
      </c>
      <c r="B6" t="s">
        <v>45</v>
      </c>
      <c r="C6" t="s">
        <v>46</v>
      </c>
      <c r="D6" s="7">
        <v>43100</v>
      </c>
      <c r="E6" s="11">
        <v>51177</v>
      </c>
      <c r="F6" s="9">
        <f t="shared" si="0"/>
        <v>-7.0623387206302235E-3</v>
      </c>
      <c r="G6" s="9">
        <f t="shared" ref="G6:G51" si="1">IF(AND(B6=B2,C6=C2),IFERROR(E6/E2-1,""),"")</f>
        <v>-2.52E-2</v>
      </c>
      <c r="H6" t="s">
        <v>47</v>
      </c>
    </row>
    <row r="7" spans="1:8" x14ac:dyDescent="0.2">
      <c r="A7" t="s">
        <v>12</v>
      </c>
      <c r="B7" t="s">
        <v>45</v>
      </c>
      <c r="C7" t="s">
        <v>46</v>
      </c>
      <c r="D7" s="7">
        <v>43190</v>
      </c>
      <c r="E7" s="11">
        <v>52482</v>
      </c>
      <c r="F7" s="9">
        <f t="shared" si="0"/>
        <v>2.5499736209625423E-2</v>
      </c>
      <c r="G7" s="9">
        <f t="shared" si="1"/>
        <v>3.1730254606621155E-3</v>
      </c>
      <c r="H7" t="s">
        <v>47</v>
      </c>
    </row>
    <row r="8" spans="1:8" x14ac:dyDescent="0.2">
      <c r="A8" t="s">
        <v>12</v>
      </c>
      <c r="B8" t="s">
        <v>45</v>
      </c>
      <c r="C8" t="s">
        <v>46</v>
      </c>
      <c r="D8" s="7">
        <v>43281</v>
      </c>
      <c r="E8" s="11">
        <v>51400</v>
      </c>
      <c r="F8" s="9">
        <f t="shared" si="0"/>
        <v>-2.0616592355474306E-2</v>
      </c>
      <c r="G8" s="9">
        <f t="shared" si="1"/>
        <v>-8.2963534632451985E-3</v>
      </c>
      <c r="H8" t="s">
        <v>47</v>
      </c>
    </row>
    <row r="9" spans="1:8" x14ac:dyDescent="0.2">
      <c r="A9" t="s">
        <v>12</v>
      </c>
      <c r="B9" t="s">
        <v>45</v>
      </c>
      <c r="C9" t="s">
        <v>46</v>
      </c>
      <c r="D9" s="7">
        <v>43373</v>
      </c>
      <c r="E9" s="11">
        <v>51827</v>
      </c>
      <c r="F9" s="9">
        <f t="shared" si="0"/>
        <v>8.3073929961090531E-3</v>
      </c>
      <c r="G9" s="9">
        <f t="shared" si="1"/>
        <v>5.5489804233523898E-3</v>
      </c>
      <c r="H9" t="s">
        <v>47</v>
      </c>
    </row>
    <row r="10" spans="1:8" x14ac:dyDescent="0.2">
      <c r="A10" t="s">
        <v>12</v>
      </c>
      <c r="B10" t="s">
        <v>45</v>
      </c>
      <c r="C10" t="s">
        <v>46</v>
      </c>
      <c r="D10" s="7">
        <v>43465</v>
      </c>
      <c r="E10" s="11">
        <v>52441</v>
      </c>
      <c r="F10" s="9">
        <f t="shared" si="0"/>
        <v>1.1847106720435319E-2</v>
      </c>
      <c r="G10" s="9">
        <f t="shared" si="1"/>
        <v>2.4698595072004892E-2</v>
      </c>
      <c r="H10" t="s">
        <v>47</v>
      </c>
    </row>
    <row r="11" spans="1:8" x14ac:dyDescent="0.2">
      <c r="A11" t="s">
        <v>12</v>
      </c>
      <c r="B11" t="s">
        <v>45</v>
      </c>
      <c r="C11" t="s">
        <v>46</v>
      </c>
      <c r="D11" s="7">
        <v>43555</v>
      </c>
      <c r="E11" s="11">
        <v>53434</v>
      </c>
      <c r="F11" s="9">
        <f t="shared" si="0"/>
        <v>1.8935565683339428E-2</v>
      </c>
      <c r="G11" s="9">
        <f t="shared" si="1"/>
        <v>1.8139552608513299E-2</v>
      </c>
      <c r="H11" t="s">
        <v>47</v>
      </c>
    </row>
    <row r="12" spans="1:8" x14ac:dyDescent="0.2">
      <c r="A12" t="s">
        <v>12</v>
      </c>
      <c r="B12" t="s">
        <v>45</v>
      </c>
      <c r="C12" t="s">
        <v>48</v>
      </c>
      <c r="D12" s="7">
        <v>42735</v>
      </c>
      <c r="E12" s="11">
        <v>6387</v>
      </c>
      <c r="F12" s="9" t="str">
        <f t="shared" si="0"/>
        <v/>
      </c>
      <c r="G12" s="9" t="str">
        <f t="shared" si="1"/>
        <v/>
      </c>
      <c r="H12" t="s">
        <v>47</v>
      </c>
    </row>
    <row r="13" spans="1:8" x14ac:dyDescent="0.2">
      <c r="A13" t="s">
        <v>12</v>
      </c>
      <c r="B13" t="s">
        <v>45</v>
      </c>
      <c r="C13" t="s">
        <v>48</v>
      </c>
      <c r="D13" s="7">
        <v>42825</v>
      </c>
      <c r="E13" s="11">
        <v>6683</v>
      </c>
      <c r="F13" s="9">
        <f t="shared" si="0"/>
        <v>4.6344136527321167E-2</v>
      </c>
      <c r="G13" s="9" t="str">
        <f t="shared" si="1"/>
        <v/>
      </c>
      <c r="H13" t="s">
        <v>47</v>
      </c>
    </row>
    <row r="14" spans="1:8" x14ac:dyDescent="0.2">
      <c r="A14" t="s">
        <v>12</v>
      </c>
      <c r="B14" t="s">
        <v>45</v>
      </c>
      <c r="C14" t="s">
        <v>48</v>
      </c>
      <c r="D14" s="7">
        <v>42916</v>
      </c>
      <c r="E14" s="11">
        <v>5785</v>
      </c>
      <c r="F14" s="9">
        <f t="shared" si="0"/>
        <v>-0.13437079156067633</v>
      </c>
      <c r="G14" s="9" t="str">
        <f t="shared" si="1"/>
        <v/>
      </c>
      <c r="H14" t="s">
        <v>47</v>
      </c>
    </row>
    <row r="15" spans="1:8" x14ac:dyDescent="0.2">
      <c r="A15" t="s">
        <v>12</v>
      </c>
      <c r="B15" t="s">
        <v>45</v>
      </c>
      <c r="C15" t="s">
        <v>48</v>
      </c>
      <c r="D15" s="7">
        <v>43008</v>
      </c>
      <c r="E15" s="11">
        <v>6501</v>
      </c>
      <c r="F15" s="9">
        <f t="shared" si="0"/>
        <v>0.12376836646499578</v>
      </c>
      <c r="G15" s="9" t="str">
        <f t="shared" si="1"/>
        <v/>
      </c>
      <c r="H15" t="s">
        <v>47</v>
      </c>
    </row>
    <row r="16" spans="1:8" x14ac:dyDescent="0.2">
      <c r="A16" t="s">
        <v>12</v>
      </c>
      <c r="B16" t="s">
        <v>45</v>
      </c>
      <c r="C16" t="s">
        <v>48</v>
      </c>
      <c r="D16" s="7">
        <v>43100</v>
      </c>
      <c r="E16" s="11">
        <v>6904</v>
      </c>
      <c r="F16" s="9">
        <f t="shared" si="0"/>
        <v>6.1990463005691332E-2</v>
      </c>
      <c r="G16" s="9">
        <f t="shared" si="1"/>
        <v>8.0945670894003507E-2</v>
      </c>
      <c r="H16" t="s">
        <v>47</v>
      </c>
    </row>
    <row r="17" spans="1:8" x14ac:dyDescent="0.2">
      <c r="A17" t="s">
        <v>12</v>
      </c>
      <c r="B17" t="s">
        <v>45</v>
      </c>
      <c r="C17" t="s">
        <v>48</v>
      </c>
      <c r="D17" s="7">
        <v>43190</v>
      </c>
      <c r="E17" s="11">
        <v>6427</v>
      </c>
      <c r="F17" s="9">
        <f t="shared" si="0"/>
        <v>-6.9090382387022031E-2</v>
      </c>
      <c r="G17" s="9">
        <f t="shared" si="1"/>
        <v>-3.8306149932665012E-2</v>
      </c>
      <c r="H17" t="s">
        <v>47</v>
      </c>
    </row>
    <row r="18" spans="1:8" x14ac:dyDescent="0.2">
      <c r="A18" t="s">
        <v>12</v>
      </c>
      <c r="B18" t="s">
        <v>45</v>
      </c>
      <c r="C18" t="s">
        <v>48</v>
      </c>
      <c r="D18" s="7">
        <v>43281</v>
      </c>
      <c r="E18" s="11">
        <v>6500</v>
      </c>
      <c r="F18" s="9">
        <f t="shared" si="0"/>
        <v>1.1358332036720098E-2</v>
      </c>
      <c r="G18" s="9">
        <f t="shared" si="1"/>
        <v>0.12359550561797761</v>
      </c>
      <c r="H18" t="s">
        <v>47</v>
      </c>
    </row>
    <row r="19" spans="1:8" x14ac:dyDescent="0.2">
      <c r="A19" t="s">
        <v>12</v>
      </c>
      <c r="B19" t="s">
        <v>45</v>
      </c>
      <c r="C19" t="s">
        <v>48</v>
      </c>
      <c r="D19" s="7">
        <v>43373</v>
      </c>
      <c r="E19" s="11">
        <v>6524</v>
      </c>
      <c r="F19" s="9">
        <f t="shared" si="0"/>
        <v>3.6923076923076614E-3</v>
      </c>
      <c r="G19" s="9">
        <f t="shared" si="1"/>
        <v>3.5379172435010542E-3</v>
      </c>
      <c r="H19" t="s">
        <v>47</v>
      </c>
    </row>
    <row r="20" spans="1:8" x14ac:dyDescent="0.2">
      <c r="A20" t="s">
        <v>12</v>
      </c>
      <c r="B20" t="s">
        <v>45</v>
      </c>
      <c r="C20" t="s">
        <v>48</v>
      </c>
      <c r="D20" s="7">
        <v>43465</v>
      </c>
      <c r="E20" s="11">
        <v>6679</v>
      </c>
      <c r="F20" s="9">
        <f t="shared" si="0"/>
        <v>2.3758430410790954E-2</v>
      </c>
      <c r="G20" s="9">
        <f t="shared" si="1"/>
        <v>-3.2589803012746277E-2</v>
      </c>
      <c r="H20" t="s">
        <v>47</v>
      </c>
    </row>
    <row r="21" spans="1:8" x14ac:dyDescent="0.2">
      <c r="A21" t="s">
        <v>12</v>
      </c>
      <c r="B21" t="s">
        <v>45</v>
      </c>
      <c r="C21" t="s">
        <v>48</v>
      </c>
      <c r="D21" s="7">
        <v>43555</v>
      </c>
      <c r="E21" s="11">
        <v>7396</v>
      </c>
      <c r="F21" s="9">
        <f t="shared" si="0"/>
        <v>0.10735139991016629</v>
      </c>
      <c r="G21" s="9">
        <f t="shared" si="1"/>
        <v>0.15077018826824329</v>
      </c>
      <c r="H21" t="s">
        <v>47</v>
      </c>
    </row>
    <row r="22" spans="1:8" x14ac:dyDescent="0.2">
      <c r="A22" t="s">
        <v>12</v>
      </c>
      <c r="B22" t="s">
        <v>45</v>
      </c>
      <c r="C22" t="s">
        <v>49</v>
      </c>
      <c r="D22" s="7">
        <v>42735</v>
      </c>
      <c r="E22" s="11">
        <v>3914</v>
      </c>
      <c r="F22" s="9" t="str">
        <f t="shared" si="0"/>
        <v/>
      </c>
      <c r="G22" s="9" t="str">
        <f t="shared" si="1"/>
        <v/>
      </c>
      <c r="H22" t="s">
        <v>47</v>
      </c>
    </row>
    <row r="23" spans="1:8" x14ac:dyDescent="0.2">
      <c r="A23" t="s">
        <v>12</v>
      </c>
      <c r="B23" t="s">
        <v>45</v>
      </c>
      <c r="C23" t="s">
        <v>49</v>
      </c>
      <c r="D23" s="7">
        <v>42825</v>
      </c>
      <c r="E23" s="11">
        <v>4168</v>
      </c>
      <c r="F23" s="9">
        <f t="shared" si="0"/>
        <v>6.4895247828308689E-2</v>
      </c>
      <c r="G23" s="9" t="str">
        <f t="shared" si="1"/>
        <v/>
      </c>
      <c r="H23" t="s">
        <v>47</v>
      </c>
    </row>
    <row r="24" spans="1:8" x14ac:dyDescent="0.2">
      <c r="A24" t="s">
        <v>12</v>
      </c>
      <c r="B24" t="s">
        <v>45</v>
      </c>
      <c r="C24" t="s">
        <v>49</v>
      </c>
      <c r="D24" s="7">
        <v>42916</v>
      </c>
      <c r="E24" s="11">
        <v>3908</v>
      </c>
      <c r="F24" s="9">
        <f t="shared" si="0"/>
        <v>-6.2380038387715886E-2</v>
      </c>
      <c r="G24" s="9" t="str">
        <f t="shared" si="1"/>
        <v/>
      </c>
      <c r="H24" t="s">
        <v>47</v>
      </c>
    </row>
    <row r="25" spans="1:8" x14ac:dyDescent="0.2">
      <c r="A25" t="s">
        <v>12</v>
      </c>
      <c r="B25" t="s">
        <v>45</v>
      </c>
      <c r="C25" t="s">
        <v>49</v>
      </c>
      <c r="D25" s="7">
        <v>43008</v>
      </c>
      <c r="E25" s="11">
        <v>3945</v>
      </c>
      <c r="F25" s="9">
        <f t="shared" si="0"/>
        <v>9.4677584442171003E-3</v>
      </c>
      <c r="G25" s="9" t="str">
        <f t="shared" si="1"/>
        <v/>
      </c>
      <c r="H25" t="s">
        <v>47</v>
      </c>
    </row>
    <row r="26" spans="1:8" x14ac:dyDescent="0.2">
      <c r="A26" t="s">
        <v>12</v>
      </c>
      <c r="B26" t="s">
        <v>45</v>
      </c>
      <c r="C26" t="s">
        <v>49</v>
      </c>
      <c r="D26" s="7">
        <v>43100</v>
      </c>
      <c r="E26" s="11">
        <v>3607</v>
      </c>
      <c r="F26" s="9">
        <f t="shared" si="0"/>
        <v>-8.5678073510773167E-2</v>
      </c>
      <c r="G26" s="9">
        <f t="shared" si="1"/>
        <v>-7.8436382217680123E-2</v>
      </c>
      <c r="H26" t="s">
        <v>47</v>
      </c>
    </row>
    <row r="27" spans="1:8" x14ac:dyDescent="0.2">
      <c r="A27" t="s">
        <v>12</v>
      </c>
      <c r="B27" t="s">
        <v>45</v>
      </c>
      <c r="C27" t="s">
        <v>49</v>
      </c>
      <c r="D27" s="7">
        <v>43190</v>
      </c>
      <c r="E27" s="11">
        <v>3785</v>
      </c>
      <c r="F27" s="9">
        <f t="shared" si="0"/>
        <v>4.9348489049071187E-2</v>
      </c>
      <c r="G27" s="9">
        <f t="shared" si="1"/>
        <v>-9.1890595009596954E-2</v>
      </c>
      <c r="H27" t="s">
        <v>47</v>
      </c>
    </row>
    <row r="28" spans="1:8" x14ac:dyDescent="0.2">
      <c r="A28" t="s">
        <v>12</v>
      </c>
      <c r="B28" t="s">
        <v>45</v>
      </c>
      <c r="C28" t="s">
        <v>49</v>
      </c>
      <c r="D28" s="7">
        <v>43281</v>
      </c>
      <c r="E28" s="11">
        <v>3588</v>
      </c>
      <c r="F28" s="9">
        <f t="shared" si="0"/>
        <v>-5.2047556142668427E-2</v>
      </c>
      <c r="G28" s="9">
        <f t="shared" si="1"/>
        <v>-8.1883316274309115E-2</v>
      </c>
      <c r="H28" t="s">
        <v>47</v>
      </c>
    </row>
    <row r="29" spans="1:8" x14ac:dyDescent="0.2">
      <c r="A29" t="s">
        <v>12</v>
      </c>
      <c r="B29" t="s">
        <v>45</v>
      </c>
      <c r="C29" t="s">
        <v>49</v>
      </c>
      <c r="D29" s="7">
        <v>43373</v>
      </c>
      <c r="E29" s="11">
        <v>3672</v>
      </c>
      <c r="F29" s="9">
        <f t="shared" si="0"/>
        <v>2.3411371237458178E-2</v>
      </c>
      <c r="G29" s="9">
        <f t="shared" si="1"/>
        <v>-6.9201520912547498E-2</v>
      </c>
      <c r="H29" t="s">
        <v>47</v>
      </c>
    </row>
    <row r="30" spans="1:8" x14ac:dyDescent="0.2">
      <c r="A30" t="s">
        <v>12</v>
      </c>
      <c r="B30" t="s">
        <v>45</v>
      </c>
      <c r="C30" t="s">
        <v>49</v>
      </c>
      <c r="D30" s="7">
        <v>43465</v>
      </c>
      <c r="E30" s="11">
        <v>3935</v>
      </c>
      <c r="F30" s="9">
        <f t="shared" si="0"/>
        <v>7.1623093681917105E-2</v>
      </c>
      <c r="G30" s="9">
        <f t="shared" si="1"/>
        <v>9.0934294427502005E-2</v>
      </c>
      <c r="H30" t="s">
        <v>47</v>
      </c>
    </row>
    <row r="31" spans="1:8" x14ac:dyDescent="0.2">
      <c r="A31" t="s">
        <v>12</v>
      </c>
      <c r="B31" t="s">
        <v>45</v>
      </c>
      <c r="C31" t="s">
        <v>49</v>
      </c>
      <c r="D31" s="7">
        <v>43555</v>
      </c>
      <c r="E31" s="11">
        <v>4606</v>
      </c>
      <c r="F31" s="9">
        <f t="shared" si="0"/>
        <v>0.17052096569250308</v>
      </c>
      <c r="G31" s="9">
        <f t="shared" si="1"/>
        <v>0.21690885072655219</v>
      </c>
      <c r="H31" t="s">
        <v>47</v>
      </c>
    </row>
    <row r="32" spans="1:8" x14ac:dyDescent="0.2">
      <c r="A32" t="s">
        <v>12</v>
      </c>
      <c r="B32" t="s">
        <v>45</v>
      </c>
      <c r="C32" t="s">
        <v>50</v>
      </c>
      <c r="D32" s="7">
        <v>42735</v>
      </c>
      <c r="E32" s="11">
        <v>2193</v>
      </c>
      <c r="F32" s="9" t="str">
        <f t="shared" si="0"/>
        <v/>
      </c>
      <c r="G32" s="9" t="str">
        <f t="shared" si="1"/>
        <v/>
      </c>
      <c r="H32" t="s">
        <v>47</v>
      </c>
    </row>
    <row r="33" spans="1:8" x14ac:dyDescent="0.2">
      <c r="A33" t="s">
        <v>12</v>
      </c>
      <c r="B33" t="s">
        <v>45</v>
      </c>
      <c r="C33" t="s">
        <v>50</v>
      </c>
      <c r="D33" s="7">
        <v>42825</v>
      </c>
      <c r="E33" s="11">
        <v>2201</v>
      </c>
      <c r="F33" s="9">
        <f t="shared" si="0"/>
        <v>3.6479708162335811E-3</v>
      </c>
      <c r="G33" s="9" t="str">
        <f t="shared" si="1"/>
        <v/>
      </c>
      <c r="H33" t="s">
        <v>47</v>
      </c>
    </row>
    <row r="34" spans="1:8" x14ac:dyDescent="0.2">
      <c r="A34" t="s">
        <v>12</v>
      </c>
      <c r="B34" t="s">
        <v>45</v>
      </c>
      <c r="C34" t="s">
        <v>50</v>
      </c>
      <c r="D34" s="7">
        <v>42916</v>
      </c>
      <c r="E34" s="11">
        <v>2130</v>
      </c>
      <c r="F34" s="9">
        <f t="shared" si="0"/>
        <v>-3.2258064516129004E-2</v>
      </c>
      <c r="G34" s="9" t="str">
        <f t="shared" si="1"/>
        <v/>
      </c>
      <c r="H34" t="s">
        <v>47</v>
      </c>
    </row>
    <row r="35" spans="1:8" x14ac:dyDescent="0.2">
      <c r="A35" t="s">
        <v>12</v>
      </c>
      <c r="B35" t="s">
        <v>45</v>
      </c>
      <c r="C35" t="s">
        <v>50</v>
      </c>
      <c r="D35" s="7">
        <v>43008</v>
      </c>
      <c r="E35" s="11">
        <v>2354</v>
      </c>
      <c r="F35" s="9">
        <f t="shared" ref="F35:F66" si="2">IF(AND(B35=B34,C35=C34),IFERROR(E35/E34-1,""),"")</f>
        <v>0.1051643192488263</v>
      </c>
      <c r="G35" s="9" t="str">
        <f t="shared" si="1"/>
        <v/>
      </c>
      <c r="H35" t="s">
        <v>47</v>
      </c>
    </row>
    <row r="36" spans="1:8" x14ac:dyDescent="0.2">
      <c r="A36" t="s">
        <v>12</v>
      </c>
      <c r="B36" t="s">
        <v>45</v>
      </c>
      <c r="C36" t="s">
        <v>50</v>
      </c>
      <c r="D36" s="7">
        <v>43100</v>
      </c>
      <c r="E36" s="11">
        <v>2294</v>
      </c>
      <c r="F36" s="9">
        <f t="shared" si="2"/>
        <v>-2.5488530161427381E-2</v>
      </c>
      <c r="G36" s="9">
        <f t="shared" si="1"/>
        <v>4.6055631554947629E-2</v>
      </c>
      <c r="H36" t="s">
        <v>47</v>
      </c>
    </row>
    <row r="37" spans="1:8" x14ac:dyDescent="0.2">
      <c r="A37" t="s">
        <v>12</v>
      </c>
      <c r="B37" t="s">
        <v>45</v>
      </c>
      <c r="C37" t="s">
        <v>50</v>
      </c>
      <c r="D37" s="7">
        <v>43190</v>
      </c>
      <c r="E37" s="11">
        <v>2289</v>
      </c>
      <c r="F37" s="9">
        <f t="shared" si="2"/>
        <v>-2.1795989537924942E-3</v>
      </c>
      <c r="G37" s="9">
        <f t="shared" si="1"/>
        <v>3.9981826442526014E-2</v>
      </c>
      <c r="H37" t="s">
        <v>47</v>
      </c>
    </row>
    <row r="38" spans="1:8" x14ac:dyDescent="0.2">
      <c r="A38" t="s">
        <v>12</v>
      </c>
      <c r="B38" t="s">
        <v>45</v>
      </c>
      <c r="C38" t="s">
        <v>50</v>
      </c>
      <c r="D38" s="7">
        <v>43281</v>
      </c>
      <c r="E38" s="11">
        <v>2496</v>
      </c>
      <c r="F38" s="9">
        <f t="shared" si="2"/>
        <v>9.0432503276540066E-2</v>
      </c>
      <c r="G38" s="9">
        <f t="shared" si="1"/>
        <v>0.17183098591549295</v>
      </c>
      <c r="H38" t="s">
        <v>47</v>
      </c>
    </row>
    <row r="39" spans="1:8" x14ac:dyDescent="0.2">
      <c r="A39" t="s">
        <v>12</v>
      </c>
      <c r="B39" t="s">
        <v>45</v>
      </c>
      <c r="C39" t="s">
        <v>50</v>
      </c>
      <c r="D39" s="7">
        <v>43373</v>
      </c>
      <c r="E39" s="11">
        <v>2754</v>
      </c>
      <c r="F39" s="9">
        <f t="shared" si="2"/>
        <v>0.10336538461538458</v>
      </c>
      <c r="G39" s="9">
        <f t="shared" si="1"/>
        <v>0.1699235344095158</v>
      </c>
      <c r="H39" t="s">
        <v>47</v>
      </c>
    </row>
    <row r="40" spans="1:8" x14ac:dyDescent="0.2">
      <c r="A40" t="s">
        <v>12</v>
      </c>
      <c r="B40" t="s">
        <v>45</v>
      </c>
      <c r="C40" t="s">
        <v>50</v>
      </c>
      <c r="D40" s="7">
        <v>43465</v>
      </c>
      <c r="E40" s="11">
        <v>2740</v>
      </c>
      <c r="F40" s="9">
        <f t="shared" si="2"/>
        <v>-5.0835148874364133E-3</v>
      </c>
      <c r="G40" s="9">
        <f t="shared" si="1"/>
        <v>0.19442022667829129</v>
      </c>
      <c r="H40" t="s">
        <v>47</v>
      </c>
    </row>
    <row r="41" spans="1:8" x14ac:dyDescent="0.2">
      <c r="A41" t="s">
        <v>12</v>
      </c>
      <c r="B41" t="s">
        <v>45</v>
      </c>
      <c r="C41" t="s">
        <v>50</v>
      </c>
      <c r="D41" s="7">
        <v>43555</v>
      </c>
      <c r="E41" s="11">
        <v>2846</v>
      </c>
      <c r="F41" s="9">
        <f t="shared" si="2"/>
        <v>3.8686131386861389E-2</v>
      </c>
      <c r="G41" s="9">
        <f t="shared" si="1"/>
        <v>0.2433377020532983</v>
      </c>
      <c r="H41" t="s">
        <v>47</v>
      </c>
    </row>
    <row r="42" spans="1:8" x14ac:dyDescent="0.2">
      <c r="A42" t="s">
        <v>12</v>
      </c>
      <c r="B42" t="s">
        <v>45</v>
      </c>
      <c r="C42" t="s">
        <v>51</v>
      </c>
      <c r="D42" s="7">
        <v>42735</v>
      </c>
      <c r="E42" s="11">
        <v>1703</v>
      </c>
      <c r="F42" s="9" t="str">
        <f t="shared" si="2"/>
        <v/>
      </c>
      <c r="G42" s="9" t="str">
        <f t="shared" si="1"/>
        <v/>
      </c>
      <c r="H42" t="s">
        <v>47</v>
      </c>
    </row>
    <row r="43" spans="1:8" x14ac:dyDescent="0.2">
      <c r="A43" t="s">
        <v>12</v>
      </c>
      <c r="B43" t="s">
        <v>45</v>
      </c>
      <c r="C43" t="s">
        <v>51</v>
      </c>
      <c r="D43" s="7">
        <v>42825</v>
      </c>
      <c r="E43" s="11">
        <v>1617</v>
      </c>
      <c r="F43" s="9">
        <f t="shared" si="2"/>
        <v>-5.0499119201409259E-2</v>
      </c>
      <c r="G43" s="9" t="str">
        <f t="shared" si="1"/>
        <v/>
      </c>
      <c r="H43" t="s">
        <v>47</v>
      </c>
    </row>
    <row r="44" spans="1:8" x14ac:dyDescent="0.2">
      <c r="A44" t="s">
        <v>12</v>
      </c>
      <c r="B44" t="s">
        <v>45</v>
      </c>
      <c r="C44" t="s">
        <v>51</v>
      </c>
      <c r="D44" s="7">
        <v>42916</v>
      </c>
      <c r="E44" s="11">
        <v>1504</v>
      </c>
      <c r="F44" s="9">
        <f t="shared" si="2"/>
        <v>-6.9882498453927022E-2</v>
      </c>
      <c r="G44" s="9" t="str">
        <f t="shared" si="1"/>
        <v/>
      </c>
      <c r="H44" t="s">
        <v>47</v>
      </c>
    </row>
    <row r="45" spans="1:8" x14ac:dyDescent="0.2">
      <c r="A45" t="s">
        <v>12</v>
      </c>
      <c r="B45" t="s">
        <v>45</v>
      </c>
      <c r="C45" t="s">
        <v>51</v>
      </c>
      <c r="D45" s="7">
        <v>43008</v>
      </c>
      <c r="E45" s="11">
        <v>1499</v>
      </c>
      <c r="F45" s="9">
        <f t="shared" si="2"/>
        <v>-3.3244680851063357E-3</v>
      </c>
      <c r="G45" s="9" t="str">
        <f t="shared" si="1"/>
        <v/>
      </c>
      <c r="H45" t="s">
        <v>47</v>
      </c>
    </row>
    <row r="46" spans="1:8" x14ac:dyDescent="0.2">
      <c r="A46" t="s">
        <v>12</v>
      </c>
      <c r="B46" t="s">
        <v>45</v>
      </c>
      <c r="C46" t="s">
        <v>51</v>
      </c>
      <c r="D46" s="7">
        <v>43100</v>
      </c>
      <c r="E46" s="11">
        <v>1545</v>
      </c>
      <c r="F46" s="9">
        <f t="shared" si="2"/>
        <v>3.0687124749833261E-2</v>
      </c>
      <c r="G46" s="9">
        <f t="shared" si="1"/>
        <v>-9.2777451556077528E-2</v>
      </c>
      <c r="H46" t="s">
        <v>47</v>
      </c>
    </row>
    <row r="47" spans="1:8" x14ac:dyDescent="0.2">
      <c r="A47" t="s">
        <v>12</v>
      </c>
      <c r="B47" t="s">
        <v>45</v>
      </c>
      <c r="C47" t="s">
        <v>51</v>
      </c>
      <c r="D47" s="7">
        <v>43190</v>
      </c>
      <c r="E47" s="11">
        <v>1550</v>
      </c>
      <c r="F47" s="9">
        <f t="shared" si="2"/>
        <v>3.2362459546926292E-3</v>
      </c>
      <c r="G47" s="9">
        <f t="shared" si="1"/>
        <v>-4.1434755720469951E-2</v>
      </c>
      <c r="H47" t="s">
        <v>47</v>
      </c>
    </row>
    <row r="48" spans="1:8" x14ac:dyDescent="0.2">
      <c r="A48" t="s">
        <v>12</v>
      </c>
      <c r="B48" t="s">
        <v>45</v>
      </c>
      <c r="C48" t="s">
        <v>51</v>
      </c>
      <c r="D48" s="7">
        <v>43281</v>
      </c>
      <c r="E48" s="11">
        <v>1801</v>
      </c>
      <c r="F48" s="9">
        <f t="shared" si="2"/>
        <v>0.16193548387096768</v>
      </c>
      <c r="G48" s="9">
        <f t="shared" si="1"/>
        <v>0.19747340425531923</v>
      </c>
      <c r="H48" t="s">
        <v>47</v>
      </c>
    </row>
    <row r="49" spans="1:8" x14ac:dyDescent="0.2">
      <c r="A49" t="s">
        <v>12</v>
      </c>
      <c r="B49" t="s">
        <v>45</v>
      </c>
      <c r="C49" t="s">
        <v>51</v>
      </c>
      <c r="D49" s="7">
        <v>43373</v>
      </c>
      <c r="E49" s="11">
        <v>1870</v>
      </c>
      <c r="F49" s="9">
        <f t="shared" si="2"/>
        <v>3.8312048861743442E-2</v>
      </c>
      <c r="G49" s="9">
        <f t="shared" si="1"/>
        <v>0.24749833222148099</v>
      </c>
      <c r="H49" t="s">
        <v>47</v>
      </c>
    </row>
    <row r="50" spans="1:8" x14ac:dyDescent="0.2">
      <c r="A50" t="s">
        <v>12</v>
      </c>
      <c r="B50" t="s">
        <v>45</v>
      </c>
      <c r="C50" t="s">
        <v>51</v>
      </c>
      <c r="D50" s="7">
        <v>43465</v>
      </c>
      <c r="E50" s="11">
        <v>1850</v>
      </c>
      <c r="F50" s="9">
        <f t="shared" si="2"/>
        <v>-1.0695187165775444E-2</v>
      </c>
      <c r="G50" s="9">
        <f t="shared" si="1"/>
        <v>0.19741100323624594</v>
      </c>
      <c r="H50" t="s">
        <v>47</v>
      </c>
    </row>
    <row r="51" spans="1:8" x14ac:dyDescent="0.2">
      <c r="A51" t="s">
        <v>12</v>
      </c>
      <c r="B51" t="s">
        <v>45</v>
      </c>
      <c r="C51" t="s">
        <v>51</v>
      </c>
      <c r="D51" s="7">
        <v>43555</v>
      </c>
      <c r="E51" s="11">
        <v>1893</v>
      </c>
      <c r="F51" s="9">
        <f t="shared" si="2"/>
        <v>2.3243243243243228E-2</v>
      </c>
      <c r="G51" s="9">
        <f t="shared" si="1"/>
        <v>0.22129032258064507</v>
      </c>
      <c r="H51" t="s">
        <v>47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showGridLines="0" workbookViewId="0"/>
  </sheetViews>
  <sheetFormatPr baseColWidth="10" defaultColWidth="8.83203125" defaultRowHeight="15" x14ac:dyDescent="0.2"/>
  <cols>
    <col min="1" max="1" width="14" customWidth="1"/>
    <col min="2" max="2" width="48" customWidth="1"/>
    <col min="3" max="3" width="12" customWidth="1"/>
    <col min="4" max="4" width="15" customWidth="1"/>
    <col min="5" max="5" width="14" customWidth="1"/>
    <col min="6" max="6" width="16" customWidth="1"/>
    <col min="7" max="7" width="44" customWidth="1"/>
    <col min="8" max="8" width="18" customWidth="1"/>
    <col min="9" max="9" width="10" customWidth="1"/>
    <col min="10" max="10" width="14" customWidth="1"/>
    <col min="11" max="11" width="12" customWidth="1"/>
    <col min="12" max="12" width="22" customWidth="1"/>
    <col min="13" max="13" width="18" customWidth="1"/>
  </cols>
  <sheetData>
    <row r="1" spans="1:13" x14ac:dyDescent="0.2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</row>
    <row r="2" spans="1:13" x14ac:dyDescent="0.2">
      <c r="A2" t="s">
        <v>12</v>
      </c>
      <c r="B2" t="s">
        <v>64</v>
      </c>
      <c r="C2" t="s">
        <v>65</v>
      </c>
      <c r="D2" t="s">
        <v>66</v>
      </c>
      <c r="E2" t="s">
        <v>67</v>
      </c>
      <c r="F2" s="2">
        <v>17349837001</v>
      </c>
      <c r="G2" t="s">
        <v>68</v>
      </c>
      <c r="H2" s="3">
        <v>39</v>
      </c>
      <c r="I2" s="3">
        <v>39</v>
      </c>
      <c r="J2" s="4">
        <v>6.74</v>
      </c>
      <c r="K2" s="4">
        <v>6.09</v>
      </c>
      <c r="M2" t="s">
        <v>69</v>
      </c>
    </row>
    <row r="3" spans="1:13" x14ac:dyDescent="0.2">
      <c r="A3" t="s">
        <v>12</v>
      </c>
      <c r="B3" t="s">
        <v>70</v>
      </c>
      <c r="C3" t="s">
        <v>71</v>
      </c>
      <c r="D3" t="s">
        <v>66</v>
      </c>
      <c r="E3" t="s">
        <v>67</v>
      </c>
      <c r="F3" s="2">
        <v>891697042</v>
      </c>
      <c r="G3" t="s">
        <v>72</v>
      </c>
      <c r="H3" s="3">
        <v>30</v>
      </c>
      <c r="I3" s="3">
        <v>30</v>
      </c>
      <c r="J3" s="4">
        <v>5.28</v>
      </c>
      <c r="K3" s="4">
        <v>6.89</v>
      </c>
      <c r="M3" t="s">
        <v>73</v>
      </c>
    </row>
    <row r="4" spans="1:13" x14ac:dyDescent="0.2">
      <c r="A4" t="s">
        <v>12</v>
      </c>
      <c r="B4" t="s">
        <v>74</v>
      </c>
      <c r="C4" t="s">
        <v>75</v>
      </c>
      <c r="D4" t="s">
        <v>76</v>
      </c>
      <c r="E4" t="s">
        <v>45</v>
      </c>
      <c r="F4" s="2">
        <v>6267343520.3000002</v>
      </c>
      <c r="G4" t="s">
        <v>77</v>
      </c>
      <c r="H4" s="3">
        <v>50</v>
      </c>
      <c r="I4" s="3">
        <v>50</v>
      </c>
      <c r="J4" s="4">
        <v>5.36</v>
      </c>
      <c r="K4" s="4">
        <v>6.39</v>
      </c>
      <c r="M4" t="s">
        <v>69</v>
      </c>
    </row>
    <row r="5" spans="1:13" x14ac:dyDescent="0.2">
      <c r="A5" t="s">
        <v>12</v>
      </c>
      <c r="B5" t="s">
        <v>78</v>
      </c>
      <c r="D5" t="s">
        <v>79</v>
      </c>
      <c r="E5" t="s">
        <v>80</v>
      </c>
      <c r="F5" s="2">
        <v>1775984277</v>
      </c>
      <c r="G5" t="s">
        <v>81</v>
      </c>
      <c r="H5" s="3">
        <v>20</v>
      </c>
      <c r="I5" s="3">
        <v>24</v>
      </c>
      <c r="J5" s="4"/>
      <c r="K5" s="4"/>
      <c r="M5" t="s">
        <v>82</v>
      </c>
    </row>
    <row r="6" spans="1:13" x14ac:dyDescent="0.2">
      <c r="A6" t="s">
        <v>12</v>
      </c>
      <c r="B6" t="s">
        <v>83</v>
      </c>
      <c r="C6" t="s">
        <v>84</v>
      </c>
      <c r="D6" t="s">
        <v>79</v>
      </c>
      <c r="E6" t="s">
        <v>80</v>
      </c>
      <c r="F6" s="2">
        <v>1541617173</v>
      </c>
      <c r="G6" t="s">
        <v>85</v>
      </c>
      <c r="H6" s="3">
        <v>125</v>
      </c>
      <c r="I6" s="3">
        <v>147</v>
      </c>
      <c r="J6" s="4">
        <v>5.87</v>
      </c>
      <c r="K6" s="4">
        <v>6.31</v>
      </c>
      <c r="M6" t="s">
        <v>69</v>
      </c>
    </row>
    <row r="7" spans="1:13" x14ac:dyDescent="0.2">
      <c r="A7" t="s">
        <v>12</v>
      </c>
      <c r="B7" t="s">
        <v>86</v>
      </c>
      <c r="D7" t="s">
        <v>79</v>
      </c>
      <c r="E7" t="s">
        <v>80</v>
      </c>
      <c r="F7" s="2">
        <v>1541617173</v>
      </c>
      <c r="G7" t="s">
        <v>85</v>
      </c>
      <c r="H7" s="3">
        <v>125</v>
      </c>
      <c r="I7" s="3">
        <v>147</v>
      </c>
      <c r="J7" s="4">
        <v>5.87</v>
      </c>
      <c r="K7" s="4">
        <v>6.31</v>
      </c>
      <c r="M7" t="s">
        <v>82</v>
      </c>
    </row>
    <row r="8" spans="1:13" x14ac:dyDescent="0.2">
      <c r="A8" t="s">
        <v>12</v>
      </c>
      <c r="B8" t="s">
        <v>87</v>
      </c>
      <c r="D8" t="s">
        <v>79</v>
      </c>
      <c r="E8" t="s">
        <v>80</v>
      </c>
      <c r="F8" s="2">
        <v>1541617173</v>
      </c>
      <c r="G8" t="s">
        <v>85</v>
      </c>
      <c r="H8" s="3">
        <v>125</v>
      </c>
      <c r="I8" s="3">
        <v>147</v>
      </c>
      <c r="J8" s="4">
        <v>5.87</v>
      </c>
      <c r="K8" s="4">
        <v>6.31</v>
      </c>
      <c r="M8" t="s">
        <v>88</v>
      </c>
    </row>
    <row r="9" spans="1:13" x14ac:dyDescent="0.2">
      <c r="A9" t="s">
        <v>12</v>
      </c>
      <c r="B9" t="s">
        <v>89</v>
      </c>
      <c r="D9" t="s">
        <v>79</v>
      </c>
      <c r="E9" t="s">
        <v>80</v>
      </c>
      <c r="F9" s="2">
        <v>1541617173</v>
      </c>
      <c r="G9" t="s">
        <v>85</v>
      </c>
      <c r="H9" s="3">
        <v>125</v>
      </c>
      <c r="I9" s="3">
        <v>147</v>
      </c>
      <c r="J9" s="4">
        <v>5.87</v>
      </c>
      <c r="K9" s="4">
        <v>6.31</v>
      </c>
      <c r="M9" t="s">
        <v>82</v>
      </c>
    </row>
    <row r="10" spans="1:13" x14ac:dyDescent="0.2">
      <c r="A10" t="s">
        <v>12</v>
      </c>
      <c r="B10" t="s">
        <v>90</v>
      </c>
      <c r="D10" t="s">
        <v>79</v>
      </c>
      <c r="E10" t="s">
        <v>80</v>
      </c>
      <c r="F10" s="2">
        <v>1541617173</v>
      </c>
      <c r="G10" t="s">
        <v>85</v>
      </c>
      <c r="H10" s="3">
        <v>125</v>
      </c>
      <c r="I10" s="3">
        <v>147</v>
      </c>
      <c r="J10" s="4">
        <v>5.87</v>
      </c>
      <c r="K10" s="4">
        <v>6.31</v>
      </c>
      <c r="M10" t="s">
        <v>88</v>
      </c>
    </row>
    <row r="11" spans="1:13" x14ac:dyDescent="0.2">
      <c r="A11" t="s">
        <v>12</v>
      </c>
      <c r="B11" t="s">
        <v>91</v>
      </c>
      <c r="D11" t="s">
        <v>79</v>
      </c>
      <c r="E11" t="s">
        <v>80</v>
      </c>
      <c r="F11" s="2">
        <v>1541617173</v>
      </c>
      <c r="G11" t="s">
        <v>85</v>
      </c>
      <c r="H11" s="3">
        <v>125</v>
      </c>
      <c r="I11" s="3">
        <v>147</v>
      </c>
      <c r="J11" s="4">
        <v>5.87</v>
      </c>
      <c r="K11" s="4">
        <v>6.31</v>
      </c>
      <c r="M11" t="s">
        <v>69</v>
      </c>
    </row>
    <row r="12" spans="1:13" x14ac:dyDescent="0.2">
      <c r="A12" t="s">
        <v>12</v>
      </c>
      <c r="B12" t="s">
        <v>92</v>
      </c>
      <c r="D12" t="s">
        <v>79</v>
      </c>
      <c r="E12" t="s">
        <v>80</v>
      </c>
      <c r="F12" s="2">
        <v>1541617173</v>
      </c>
      <c r="G12" t="s">
        <v>85</v>
      </c>
      <c r="H12" s="3">
        <v>125</v>
      </c>
      <c r="I12" s="3">
        <v>147</v>
      </c>
      <c r="J12" s="4">
        <v>5.87</v>
      </c>
      <c r="K12" s="4">
        <v>6.31</v>
      </c>
      <c r="M12" t="s">
        <v>69</v>
      </c>
    </row>
    <row r="13" spans="1:13" x14ac:dyDescent="0.2">
      <c r="A13" t="s">
        <v>12</v>
      </c>
      <c r="B13" t="s">
        <v>87</v>
      </c>
      <c r="D13" t="s">
        <v>79</v>
      </c>
      <c r="E13" t="s">
        <v>80</v>
      </c>
      <c r="F13" s="2">
        <v>1541617173</v>
      </c>
      <c r="G13" t="s">
        <v>85</v>
      </c>
      <c r="H13" s="3">
        <v>125</v>
      </c>
      <c r="I13" s="3">
        <v>147</v>
      </c>
      <c r="J13" s="4">
        <v>5.87</v>
      </c>
      <c r="K13" s="4">
        <v>6.31</v>
      </c>
      <c r="M13" t="s">
        <v>82</v>
      </c>
    </row>
    <row r="14" spans="1:13" x14ac:dyDescent="0.2">
      <c r="A14" t="s">
        <v>12</v>
      </c>
      <c r="B14" t="s">
        <v>93</v>
      </c>
      <c r="D14" t="s">
        <v>79</v>
      </c>
      <c r="E14" t="s">
        <v>80</v>
      </c>
      <c r="F14" s="2">
        <v>1541617173</v>
      </c>
      <c r="G14" t="s">
        <v>85</v>
      </c>
      <c r="H14" s="3">
        <v>125</v>
      </c>
      <c r="I14" s="3">
        <v>147</v>
      </c>
      <c r="J14" s="4">
        <v>5.87</v>
      </c>
      <c r="K14" s="4">
        <v>6.31</v>
      </c>
      <c r="M14" t="s">
        <v>69</v>
      </c>
    </row>
    <row r="15" spans="1:13" x14ac:dyDescent="0.2">
      <c r="A15" t="s">
        <v>12</v>
      </c>
      <c r="B15" t="s">
        <v>94</v>
      </c>
      <c r="D15" t="s">
        <v>79</v>
      </c>
      <c r="E15" t="s">
        <v>80</v>
      </c>
      <c r="F15" s="2">
        <v>1541617173</v>
      </c>
      <c r="G15" t="s">
        <v>85</v>
      </c>
      <c r="H15" s="3">
        <v>125</v>
      </c>
      <c r="I15" s="3">
        <v>147</v>
      </c>
      <c r="J15" s="4">
        <v>5.87</v>
      </c>
      <c r="K15" s="4">
        <v>6.31</v>
      </c>
      <c r="M15" t="s">
        <v>88</v>
      </c>
    </row>
    <row r="16" spans="1:13" x14ac:dyDescent="0.2">
      <c r="A16" t="s">
        <v>12</v>
      </c>
      <c r="B16" t="s">
        <v>91</v>
      </c>
      <c r="D16" t="s">
        <v>79</v>
      </c>
      <c r="E16" t="s">
        <v>80</v>
      </c>
      <c r="F16" s="2">
        <v>1541617173</v>
      </c>
      <c r="G16" t="s">
        <v>85</v>
      </c>
      <c r="H16" s="3">
        <v>125</v>
      </c>
      <c r="I16" s="3">
        <v>147</v>
      </c>
      <c r="J16" s="4">
        <v>5.87</v>
      </c>
      <c r="K16" s="4">
        <v>6.31</v>
      </c>
      <c r="M16" t="s">
        <v>69</v>
      </c>
    </row>
    <row r="17" spans="1:13" x14ac:dyDescent="0.2">
      <c r="A17" t="s">
        <v>12</v>
      </c>
      <c r="B17" t="s">
        <v>95</v>
      </c>
      <c r="D17" t="s">
        <v>79</v>
      </c>
      <c r="E17" t="s">
        <v>80</v>
      </c>
      <c r="F17" s="2">
        <v>1541617173</v>
      </c>
      <c r="G17" t="s">
        <v>85</v>
      </c>
      <c r="H17" s="3">
        <v>125</v>
      </c>
      <c r="I17" s="3">
        <v>147</v>
      </c>
      <c r="J17" s="4">
        <v>5.87</v>
      </c>
      <c r="K17" s="4">
        <v>6.31</v>
      </c>
      <c r="M17" t="s">
        <v>69</v>
      </c>
    </row>
    <row r="18" spans="1:13" x14ac:dyDescent="0.2">
      <c r="A18" t="s">
        <v>12</v>
      </c>
      <c r="B18" t="s">
        <v>96</v>
      </c>
      <c r="D18" t="s">
        <v>79</v>
      </c>
      <c r="E18" t="s">
        <v>80</v>
      </c>
      <c r="F18" s="2">
        <v>1541617173</v>
      </c>
      <c r="G18" t="s">
        <v>85</v>
      </c>
      <c r="H18" s="3">
        <v>125</v>
      </c>
      <c r="I18" s="3">
        <v>147</v>
      </c>
      <c r="J18" s="4">
        <v>5.87</v>
      </c>
      <c r="K18" s="4">
        <v>6.31</v>
      </c>
      <c r="M18" t="s">
        <v>69</v>
      </c>
    </row>
    <row r="19" spans="1:13" x14ac:dyDescent="0.2">
      <c r="A19" t="s">
        <v>12</v>
      </c>
      <c r="B19" t="s">
        <v>97</v>
      </c>
      <c r="D19" t="s">
        <v>79</v>
      </c>
      <c r="E19" t="s">
        <v>80</v>
      </c>
      <c r="F19" s="2">
        <v>1541617173</v>
      </c>
      <c r="G19" t="s">
        <v>85</v>
      </c>
      <c r="H19" s="3">
        <v>125</v>
      </c>
      <c r="I19" s="3">
        <v>147</v>
      </c>
      <c r="J19" s="4">
        <v>5.87</v>
      </c>
      <c r="K19" s="4">
        <v>6.31</v>
      </c>
      <c r="M19" t="s">
        <v>98</v>
      </c>
    </row>
    <row r="20" spans="1:13" x14ac:dyDescent="0.2">
      <c r="A20" t="s">
        <v>12</v>
      </c>
      <c r="B20" t="s">
        <v>99</v>
      </c>
      <c r="C20" t="s">
        <v>100</v>
      </c>
      <c r="D20" t="s">
        <v>79</v>
      </c>
      <c r="E20" t="s">
        <v>80</v>
      </c>
      <c r="F20" s="2">
        <v>1541617173</v>
      </c>
      <c r="G20" t="s">
        <v>85</v>
      </c>
      <c r="H20" s="3">
        <v>125</v>
      </c>
      <c r="I20" s="3">
        <v>147</v>
      </c>
      <c r="J20" s="4">
        <v>5.87</v>
      </c>
      <c r="K20" s="4">
        <v>6.31</v>
      </c>
      <c r="M20" t="s">
        <v>69</v>
      </c>
    </row>
    <row r="21" spans="1:13" x14ac:dyDescent="0.2">
      <c r="A21" t="s">
        <v>12</v>
      </c>
      <c r="B21" t="s">
        <v>83</v>
      </c>
      <c r="D21" t="s">
        <v>79</v>
      </c>
      <c r="E21" t="s">
        <v>80</v>
      </c>
      <c r="F21" s="2">
        <v>1541617173</v>
      </c>
      <c r="G21" t="s">
        <v>85</v>
      </c>
      <c r="H21" s="3">
        <v>125</v>
      </c>
      <c r="I21" s="3">
        <v>147</v>
      </c>
      <c r="J21" s="4">
        <v>5.87</v>
      </c>
      <c r="K21" s="4">
        <v>6.31</v>
      </c>
      <c r="M21" t="s">
        <v>101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showGridLines="0" workbookViewId="0"/>
  </sheetViews>
  <sheetFormatPr baseColWidth="10" defaultColWidth="8.83203125" defaultRowHeight="15" x14ac:dyDescent="0.2"/>
  <cols>
    <col min="1" max="1" width="14" customWidth="1"/>
    <col min="2" max="2" width="48" customWidth="1"/>
    <col min="3" max="3" width="18" customWidth="1"/>
    <col min="4" max="4" width="42" customWidth="1"/>
    <col min="5" max="5" width="12" customWidth="1"/>
    <col min="6" max="6" width="16" customWidth="1"/>
    <col min="7" max="7" width="12" customWidth="1"/>
    <col min="8" max="10" width="14" customWidth="1"/>
  </cols>
  <sheetData>
    <row r="1" spans="1:10" x14ac:dyDescent="0.2">
      <c r="A1" s="1" t="s">
        <v>0</v>
      </c>
      <c r="B1" s="1" t="s">
        <v>52</v>
      </c>
      <c r="C1" s="1" t="s">
        <v>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</row>
    <row r="2" spans="1:10" x14ac:dyDescent="0.2">
      <c r="A2" t="s">
        <v>12</v>
      </c>
      <c r="B2" t="s">
        <v>64</v>
      </c>
      <c r="C2" t="s">
        <v>37</v>
      </c>
      <c r="D2" t="s">
        <v>109</v>
      </c>
      <c r="E2" t="s">
        <v>110</v>
      </c>
      <c r="F2" t="s">
        <v>111</v>
      </c>
      <c r="H2" s="4">
        <v>4.1399999999999997</v>
      </c>
      <c r="J2" s="4"/>
    </row>
    <row r="3" spans="1:10" x14ac:dyDescent="0.2">
      <c r="A3" t="s">
        <v>12</v>
      </c>
      <c r="B3" t="s">
        <v>64</v>
      </c>
      <c r="C3" t="s">
        <v>28</v>
      </c>
      <c r="D3" t="s">
        <v>112</v>
      </c>
      <c r="E3" t="s">
        <v>113</v>
      </c>
      <c r="F3" t="s">
        <v>111</v>
      </c>
      <c r="H3" s="4">
        <v>3.84</v>
      </c>
      <c r="J3" s="4"/>
    </row>
    <row r="4" spans="1:10" x14ac:dyDescent="0.2">
      <c r="A4" t="s">
        <v>12</v>
      </c>
      <c r="B4" t="s">
        <v>64</v>
      </c>
      <c r="C4" t="s">
        <v>18</v>
      </c>
      <c r="D4" t="s">
        <v>114</v>
      </c>
      <c r="E4" t="s">
        <v>113</v>
      </c>
      <c r="F4" t="s">
        <v>111</v>
      </c>
      <c r="H4" s="4">
        <v>3.8</v>
      </c>
      <c r="J4" s="4"/>
    </row>
    <row r="5" spans="1:10" x14ac:dyDescent="0.2">
      <c r="A5" t="s">
        <v>12</v>
      </c>
      <c r="B5" t="s">
        <v>64</v>
      </c>
      <c r="C5" t="s">
        <v>34</v>
      </c>
      <c r="D5" t="s">
        <v>115</v>
      </c>
      <c r="E5" t="s">
        <v>110</v>
      </c>
      <c r="F5" t="s">
        <v>111</v>
      </c>
      <c r="H5" s="4">
        <v>3.66</v>
      </c>
      <c r="J5" s="4"/>
    </row>
    <row r="6" spans="1:10" x14ac:dyDescent="0.2">
      <c r="A6" t="s">
        <v>12</v>
      </c>
      <c r="B6" t="s">
        <v>64</v>
      </c>
      <c r="C6" t="s">
        <v>19</v>
      </c>
      <c r="D6" t="s">
        <v>116</v>
      </c>
      <c r="E6" t="s">
        <v>113</v>
      </c>
      <c r="F6" t="s">
        <v>111</v>
      </c>
      <c r="H6" s="4">
        <v>3.36</v>
      </c>
      <c r="J6" s="4"/>
    </row>
    <row r="7" spans="1:10" x14ac:dyDescent="0.2">
      <c r="A7" t="s">
        <v>12</v>
      </c>
      <c r="B7" t="s">
        <v>64</v>
      </c>
      <c r="C7" t="s">
        <v>20</v>
      </c>
      <c r="D7" t="s">
        <v>117</v>
      </c>
      <c r="E7" t="s">
        <v>113</v>
      </c>
      <c r="F7" t="s">
        <v>111</v>
      </c>
      <c r="H7" s="4">
        <v>3.36</v>
      </c>
      <c r="J7" s="4"/>
    </row>
    <row r="8" spans="1:10" x14ac:dyDescent="0.2">
      <c r="A8" t="s">
        <v>12</v>
      </c>
      <c r="B8" t="s">
        <v>64</v>
      </c>
      <c r="C8" t="s">
        <v>33</v>
      </c>
      <c r="D8" t="s">
        <v>118</v>
      </c>
      <c r="E8" t="s">
        <v>119</v>
      </c>
      <c r="F8" t="s">
        <v>111</v>
      </c>
      <c r="H8" s="4">
        <v>3.28</v>
      </c>
      <c r="J8" s="4"/>
    </row>
    <row r="9" spans="1:10" x14ac:dyDescent="0.2">
      <c r="A9" t="s">
        <v>12</v>
      </c>
      <c r="B9" t="s">
        <v>64</v>
      </c>
      <c r="C9" t="s">
        <v>120</v>
      </c>
      <c r="D9" t="s">
        <v>121</v>
      </c>
      <c r="E9" t="s">
        <v>122</v>
      </c>
      <c r="F9" t="s">
        <v>111</v>
      </c>
      <c r="H9" s="4">
        <v>3.27</v>
      </c>
      <c r="J9" s="4"/>
    </row>
    <row r="10" spans="1:10" x14ac:dyDescent="0.2">
      <c r="A10" t="s">
        <v>12</v>
      </c>
      <c r="B10" t="s">
        <v>64</v>
      </c>
      <c r="C10" t="s">
        <v>13</v>
      </c>
      <c r="D10" t="s">
        <v>123</v>
      </c>
      <c r="E10" t="s">
        <v>113</v>
      </c>
      <c r="F10" t="s">
        <v>111</v>
      </c>
      <c r="H10" s="4">
        <v>3.17</v>
      </c>
      <c r="J10" s="4"/>
    </row>
    <row r="11" spans="1:10" x14ac:dyDescent="0.2">
      <c r="A11" t="s">
        <v>12</v>
      </c>
      <c r="B11" t="s">
        <v>64</v>
      </c>
      <c r="C11" t="s">
        <v>124</v>
      </c>
      <c r="D11" t="s">
        <v>125</v>
      </c>
      <c r="E11" t="s">
        <v>113</v>
      </c>
      <c r="F11" t="s">
        <v>111</v>
      </c>
      <c r="H11" s="4">
        <v>2.93</v>
      </c>
      <c r="J11" s="4"/>
    </row>
    <row r="12" spans="1:10" x14ac:dyDescent="0.2">
      <c r="A12" t="s">
        <v>12</v>
      </c>
      <c r="B12" t="s">
        <v>83</v>
      </c>
      <c r="C12" t="s">
        <v>13</v>
      </c>
      <c r="D12" t="s">
        <v>123</v>
      </c>
      <c r="E12" t="s">
        <v>113</v>
      </c>
      <c r="F12" t="s">
        <v>111</v>
      </c>
      <c r="H12" s="4">
        <v>1.73</v>
      </c>
      <c r="I12" t="s">
        <v>126</v>
      </c>
      <c r="J12" s="4">
        <v>4.125</v>
      </c>
    </row>
    <row r="13" spans="1:10" x14ac:dyDescent="0.2">
      <c r="A13" t="s">
        <v>12</v>
      </c>
      <c r="B13" t="s">
        <v>83</v>
      </c>
      <c r="C13" t="s">
        <v>127</v>
      </c>
      <c r="D13" t="s">
        <v>128</v>
      </c>
      <c r="E13" t="s">
        <v>122</v>
      </c>
      <c r="F13" t="s">
        <v>111</v>
      </c>
      <c r="H13" s="4">
        <v>1.42</v>
      </c>
      <c r="I13" t="s">
        <v>129</v>
      </c>
      <c r="J13" s="4">
        <v>4.5</v>
      </c>
    </row>
    <row r="14" spans="1:10" x14ac:dyDescent="0.2">
      <c r="A14" t="s">
        <v>12</v>
      </c>
      <c r="B14" t="s">
        <v>83</v>
      </c>
      <c r="C14" t="s">
        <v>13</v>
      </c>
      <c r="D14" t="s">
        <v>123</v>
      </c>
      <c r="E14" t="s">
        <v>113</v>
      </c>
      <c r="F14" t="s">
        <v>111</v>
      </c>
      <c r="H14" s="4">
        <v>1.21</v>
      </c>
      <c r="I14" t="s">
        <v>130</v>
      </c>
      <c r="J14" s="4">
        <v>5</v>
      </c>
    </row>
    <row r="15" spans="1:10" x14ac:dyDescent="0.2">
      <c r="A15" t="s">
        <v>12</v>
      </c>
      <c r="B15" t="s">
        <v>83</v>
      </c>
      <c r="C15" t="s">
        <v>127</v>
      </c>
      <c r="D15" t="s">
        <v>131</v>
      </c>
      <c r="E15" t="s">
        <v>122</v>
      </c>
      <c r="F15" t="s">
        <v>111</v>
      </c>
      <c r="H15" s="4">
        <v>1.04</v>
      </c>
      <c r="I15" t="s">
        <v>132</v>
      </c>
      <c r="J15" s="4">
        <v>0</v>
      </c>
    </row>
    <row r="16" spans="1:10" x14ac:dyDescent="0.2">
      <c r="A16" t="s">
        <v>12</v>
      </c>
      <c r="B16" t="s">
        <v>83</v>
      </c>
      <c r="C16" t="s">
        <v>120</v>
      </c>
      <c r="D16" t="s">
        <v>133</v>
      </c>
      <c r="E16" t="s">
        <v>122</v>
      </c>
      <c r="F16" t="s">
        <v>111</v>
      </c>
      <c r="H16" s="4">
        <v>1.03</v>
      </c>
      <c r="I16" t="s">
        <v>134</v>
      </c>
      <c r="J16" s="4">
        <v>5.75</v>
      </c>
    </row>
    <row r="17" spans="1:10" x14ac:dyDescent="0.2">
      <c r="A17" t="s">
        <v>12</v>
      </c>
      <c r="B17" t="s">
        <v>83</v>
      </c>
      <c r="C17" t="s">
        <v>28</v>
      </c>
      <c r="D17" t="s">
        <v>135</v>
      </c>
      <c r="E17" t="s">
        <v>113</v>
      </c>
      <c r="F17" t="s">
        <v>111</v>
      </c>
      <c r="H17" s="4">
        <v>0.97</v>
      </c>
      <c r="I17" t="s">
        <v>136</v>
      </c>
      <c r="J17" s="4">
        <v>4.875</v>
      </c>
    </row>
    <row r="18" spans="1:10" x14ac:dyDescent="0.2">
      <c r="A18" t="s">
        <v>12</v>
      </c>
      <c r="B18" t="s">
        <v>83</v>
      </c>
      <c r="C18" t="s">
        <v>28</v>
      </c>
      <c r="D18" t="s">
        <v>135</v>
      </c>
      <c r="E18" t="s">
        <v>113</v>
      </c>
      <c r="F18" t="s">
        <v>111</v>
      </c>
      <c r="H18" s="4">
        <v>0.94</v>
      </c>
      <c r="I18" t="s">
        <v>137</v>
      </c>
      <c r="J18" s="4">
        <v>6.35</v>
      </c>
    </row>
    <row r="19" spans="1:10" x14ac:dyDescent="0.2">
      <c r="A19" t="s">
        <v>12</v>
      </c>
      <c r="B19" t="s">
        <v>83</v>
      </c>
      <c r="C19" t="s">
        <v>138</v>
      </c>
      <c r="D19" t="s">
        <v>139</v>
      </c>
      <c r="E19" t="s">
        <v>113</v>
      </c>
      <c r="F19" t="s">
        <v>111</v>
      </c>
      <c r="H19" s="4">
        <v>0.91</v>
      </c>
      <c r="I19" t="s">
        <v>140</v>
      </c>
      <c r="J19" s="4">
        <v>3.5</v>
      </c>
    </row>
    <row r="20" spans="1:10" x14ac:dyDescent="0.2">
      <c r="A20" t="s">
        <v>12</v>
      </c>
      <c r="B20" t="s">
        <v>83</v>
      </c>
      <c r="C20" t="s">
        <v>34</v>
      </c>
      <c r="D20" t="s">
        <v>141</v>
      </c>
      <c r="E20" t="s">
        <v>110</v>
      </c>
      <c r="F20" t="s">
        <v>142</v>
      </c>
      <c r="H20" s="4">
        <v>0.9</v>
      </c>
      <c r="I20" t="s">
        <v>143</v>
      </c>
      <c r="J20" s="4">
        <v>4.875</v>
      </c>
    </row>
    <row r="21" spans="1:10" x14ac:dyDescent="0.2">
      <c r="A21" t="s">
        <v>12</v>
      </c>
      <c r="B21" t="s">
        <v>83</v>
      </c>
      <c r="C21" t="s">
        <v>144</v>
      </c>
      <c r="D21" t="s">
        <v>145</v>
      </c>
      <c r="E21" t="s">
        <v>113</v>
      </c>
      <c r="F21" t="s">
        <v>111</v>
      </c>
      <c r="H21" s="4">
        <v>0.89</v>
      </c>
      <c r="I21" t="s">
        <v>146</v>
      </c>
      <c r="J21" s="4">
        <v>6.9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showGridLines="0" workbookViewId="0"/>
  </sheetViews>
  <sheetFormatPr baseColWidth="10" defaultColWidth="8.83203125" defaultRowHeight="15" x14ac:dyDescent="0.2"/>
  <cols>
    <col min="1" max="1" width="18" customWidth="1"/>
    <col min="2" max="3" width="14" customWidth="1"/>
    <col min="4" max="4" width="18" customWidth="1"/>
    <col min="5" max="5" width="60" customWidth="1"/>
    <col min="6" max="6" width="14" customWidth="1"/>
    <col min="7" max="7" width="16" customWidth="1"/>
    <col min="8" max="8" width="24" customWidth="1"/>
    <col min="9" max="9" width="36" customWidth="1"/>
  </cols>
  <sheetData>
    <row r="1" spans="1:9" x14ac:dyDescent="0.2">
      <c r="A1" s="1" t="s">
        <v>1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10</v>
      </c>
      <c r="H1" s="1" t="s">
        <v>11</v>
      </c>
      <c r="I1" s="1" t="s">
        <v>152</v>
      </c>
    </row>
    <row r="2" spans="1:9" x14ac:dyDescent="0.2">
      <c r="A2" t="s">
        <v>13</v>
      </c>
      <c r="B2" t="s">
        <v>153</v>
      </c>
      <c r="D2" t="s">
        <v>154</v>
      </c>
      <c r="E2" t="s">
        <v>155</v>
      </c>
      <c r="G2" t="s">
        <v>15</v>
      </c>
      <c r="H2" t="s">
        <v>16</v>
      </c>
      <c r="I2" t="s">
        <v>156</v>
      </c>
    </row>
    <row r="3" spans="1:9" x14ac:dyDescent="0.2">
      <c r="A3" t="s">
        <v>21</v>
      </c>
      <c r="B3" t="s">
        <v>157</v>
      </c>
      <c r="D3" t="s">
        <v>154</v>
      </c>
      <c r="E3" t="s">
        <v>158</v>
      </c>
      <c r="G3" t="s">
        <v>15</v>
      </c>
      <c r="H3" t="s">
        <v>16</v>
      </c>
      <c r="I3" t="s">
        <v>159</v>
      </c>
    </row>
    <row r="4" spans="1:9" x14ac:dyDescent="0.2">
      <c r="A4" t="s">
        <v>35</v>
      </c>
      <c r="B4" t="s">
        <v>160</v>
      </c>
      <c r="D4" t="s">
        <v>154</v>
      </c>
      <c r="E4" t="s">
        <v>161</v>
      </c>
      <c r="G4" t="s">
        <v>15</v>
      </c>
      <c r="H4" t="s">
        <v>16</v>
      </c>
      <c r="I4" t="s">
        <v>162</v>
      </c>
    </row>
    <row r="5" spans="1:9" x14ac:dyDescent="0.2">
      <c r="A5" t="s">
        <v>22</v>
      </c>
      <c r="B5" t="s">
        <v>163</v>
      </c>
      <c r="D5" t="s">
        <v>154</v>
      </c>
      <c r="E5" t="s">
        <v>164</v>
      </c>
      <c r="G5" t="s">
        <v>15</v>
      </c>
      <c r="H5" t="s">
        <v>23</v>
      </c>
      <c r="I5" t="s">
        <v>165</v>
      </c>
    </row>
    <row r="6" spans="1:9" x14ac:dyDescent="0.2">
      <c r="A6" t="s">
        <v>27</v>
      </c>
      <c r="B6" t="s">
        <v>166</v>
      </c>
      <c r="D6" t="s">
        <v>167</v>
      </c>
      <c r="E6" t="s">
        <v>168</v>
      </c>
      <c r="G6" t="s">
        <v>14</v>
      </c>
      <c r="I6" t="s">
        <v>169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2"/>
  <sheetViews>
    <sheetView showGridLines="0" workbookViewId="0"/>
  </sheetViews>
  <sheetFormatPr baseColWidth="10" defaultColWidth="8.83203125" defaultRowHeight="15" x14ac:dyDescent="0.2"/>
  <cols>
    <col min="1" max="1" width="14" customWidth="1"/>
    <col min="2" max="2" width="16" customWidth="1"/>
    <col min="3" max="3" width="12" customWidth="1"/>
    <col min="4" max="6" width="18" customWidth="1"/>
    <col min="7" max="7" width="12" customWidth="1"/>
    <col min="8" max="8" width="22" customWidth="1"/>
    <col min="9" max="11" width="18" customWidth="1"/>
    <col min="12" max="13" width="22" customWidth="1"/>
  </cols>
  <sheetData>
    <row r="1" spans="1:13" x14ac:dyDescent="0.2">
      <c r="A1" s="6" t="s">
        <v>0</v>
      </c>
      <c r="B1" s="6" t="s">
        <v>1</v>
      </c>
      <c r="C1" s="6" t="s">
        <v>170</v>
      </c>
      <c r="D1" s="6" t="s">
        <v>171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172</v>
      </c>
      <c r="L1" s="6" t="s">
        <v>41</v>
      </c>
      <c r="M1" s="6" t="s">
        <v>173</v>
      </c>
    </row>
    <row r="2" spans="1:13" x14ac:dyDescent="0.2">
      <c r="A2" t="s">
        <v>12</v>
      </c>
      <c r="B2" t="s">
        <v>13</v>
      </c>
      <c r="C2" t="s">
        <v>174</v>
      </c>
      <c r="D2">
        <v>-15</v>
      </c>
      <c r="E2" s="8">
        <v>39403734630.122803</v>
      </c>
      <c r="F2" s="8">
        <v>255603072878.79999</v>
      </c>
      <c r="G2" s="9"/>
      <c r="H2" s="8">
        <v>2688362005.5231199</v>
      </c>
      <c r="I2" s="10">
        <v>70.539166666666702</v>
      </c>
      <c r="J2" s="9">
        <v>0.46505203498872461</v>
      </c>
      <c r="K2" s="8"/>
      <c r="L2" s="8"/>
    </row>
    <row r="3" spans="1:13" x14ac:dyDescent="0.2">
      <c r="A3" t="s">
        <v>12</v>
      </c>
      <c r="B3" t="s">
        <v>13</v>
      </c>
      <c r="C3" t="s">
        <v>174</v>
      </c>
      <c r="D3">
        <v>-3</v>
      </c>
      <c r="E3" s="8">
        <v>39653498610.782799</v>
      </c>
      <c r="F3" s="8">
        <v>246114307414</v>
      </c>
      <c r="G3" s="9"/>
      <c r="H3" s="8">
        <v>6624785192.3479996</v>
      </c>
      <c r="I3" s="10">
        <v>94.990741666666693</v>
      </c>
      <c r="J3" s="9">
        <v>0.34663827424480459</v>
      </c>
      <c r="K3" s="8"/>
      <c r="L3" s="8"/>
    </row>
    <row r="4" spans="1:13" x14ac:dyDescent="0.2">
      <c r="A4" t="s">
        <v>12</v>
      </c>
      <c r="B4" t="s">
        <v>13</v>
      </c>
      <c r="C4" t="s">
        <v>174</v>
      </c>
      <c r="D4">
        <v>9</v>
      </c>
      <c r="E4" s="8">
        <v>44795335171.515198</v>
      </c>
      <c r="F4" s="8">
        <v>248976650822</v>
      </c>
      <c r="G4" s="9"/>
      <c r="H4" s="8">
        <v>-3964074915.2809501</v>
      </c>
      <c r="I4" s="10">
        <v>130.61654999999999</v>
      </c>
      <c r="J4" s="9">
        <v>0.37504505921585812</v>
      </c>
      <c r="K4" s="8"/>
      <c r="L4" s="8"/>
    </row>
    <row r="5" spans="1:13" x14ac:dyDescent="0.2">
      <c r="A5" t="s">
        <v>12</v>
      </c>
      <c r="B5" t="s">
        <v>13</v>
      </c>
      <c r="C5" t="s">
        <v>174</v>
      </c>
      <c r="D5">
        <v>21</v>
      </c>
      <c r="E5" s="8">
        <v>23080560550.294601</v>
      </c>
      <c r="F5" s="8">
        <v>252793904703.10001</v>
      </c>
      <c r="G5" s="9"/>
      <c r="H5" s="8">
        <v>-20751251605.550301</v>
      </c>
      <c r="I5" s="10">
        <v>296.258041666667</v>
      </c>
      <c r="J5" s="9">
        <v>1.268150871131315</v>
      </c>
      <c r="K5" s="8"/>
      <c r="L5" s="8"/>
    </row>
    <row r="6" spans="1:13" x14ac:dyDescent="0.2">
      <c r="A6" t="s">
        <v>12</v>
      </c>
      <c r="B6" t="s">
        <v>21</v>
      </c>
      <c r="C6" t="s">
        <v>175</v>
      </c>
      <c r="D6">
        <v>-24</v>
      </c>
      <c r="E6" s="8">
        <v>38972812936.670799</v>
      </c>
      <c r="F6" s="8">
        <v>132538717154</v>
      </c>
      <c r="G6" s="9"/>
      <c r="H6" s="8">
        <v>-14235956908.691601</v>
      </c>
      <c r="I6" s="10">
        <v>15.759172916666699</v>
      </c>
      <c r="J6" s="9">
        <v>-6.0308517360071263E-2</v>
      </c>
      <c r="K6" s="8"/>
      <c r="L6" s="8"/>
    </row>
    <row r="7" spans="1:13" x14ac:dyDescent="0.2">
      <c r="A7" t="s">
        <v>12</v>
      </c>
      <c r="B7" t="s">
        <v>21</v>
      </c>
      <c r="C7" t="s">
        <v>175</v>
      </c>
      <c r="D7">
        <v>-12</v>
      </c>
      <c r="E7" s="8">
        <v>39824388217.361504</v>
      </c>
      <c r="F7" s="8">
        <v>145998330659.89999</v>
      </c>
      <c r="G7" s="9"/>
      <c r="H7" s="8">
        <v>-18610828181.499901</v>
      </c>
      <c r="I7" s="10">
        <v>15.644527277711299</v>
      </c>
      <c r="J7" s="9">
        <v>-7.274851260382631E-3</v>
      </c>
      <c r="K7" s="8"/>
      <c r="L7" s="8"/>
    </row>
    <row r="8" spans="1:13" x14ac:dyDescent="0.2">
      <c r="A8" t="s">
        <v>12</v>
      </c>
      <c r="B8" t="s">
        <v>21</v>
      </c>
      <c r="C8" t="s">
        <v>175</v>
      </c>
      <c r="D8">
        <v>0</v>
      </c>
      <c r="E8" s="8">
        <v>32143926008.460701</v>
      </c>
      <c r="F8" s="8">
        <v>163111452414.10001</v>
      </c>
      <c r="G8" s="9"/>
      <c r="H8" s="8">
        <v>-10536555731.200001</v>
      </c>
      <c r="I8" s="10">
        <v>19.160439741220401</v>
      </c>
      <c r="J8" s="9">
        <v>0.22473753288271039</v>
      </c>
      <c r="K8" s="8"/>
      <c r="L8" s="8"/>
    </row>
    <row r="9" spans="1:13" x14ac:dyDescent="0.2">
      <c r="A9" t="s">
        <v>12</v>
      </c>
      <c r="B9" t="s">
        <v>21</v>
      </c>
      <c r="C9" t="s">
        <v>175</v>
      </c>
      <c r="D9">
        <v>12</v>
      </c>
      <c r="E9" s="8">
        <v>33070180836.137402</v>
      </c>
      <c r="F9" s="8">
        <v>168182236339.60001</v>
      </c>
      <c r="G9" s="9"/>
      <c r="H9" s="8">
        <v>-12564268977.383301</v>
      </c>
      <c r="I9" s="10">
        <v>30.626413698031101</v>
      </c>
      <c r="J9" s="9">
        <v>0.5984191444282787</v>
      </c>
      <c r="K9" s="8"/>
      <c r="L9" s="8"/>
    </row>
    <row r="10" spans="1:13" x14ac:dyDescent="0.2">
      <c r="A10" t="s">
        <v>12</v>
      </c>
      <c r="B10" t="s">
        <v>21</v>
      </c>
      <c r="C10" t="s">
        <v>175</v>
      </c>
      <c r="D10">
        <v>24</v>
      </c>
      <c r="E10" s="8">
        <v>44921341018.465897</v>
      </c>
      <c r="F10" s="8">
        <v>155972716013.20001</v>
      </c>
      <c r="G10" s="9"/>
      <c r="H10" s="8">
        <v>-22256099999.999901</v>
      </c>
      <c r="I10" s="10">
        <v>45.299259999999997</v>
      </c>
      <c r="J10" s="9">
        <v>0.47909123303301349</v>
      </c>
      <c r="K10" s="8"/>
      <c r="L10" s="8"/>
    </row>
    <row r="11" spans="1:13" x14ac:dyDescent="0.2">
      <c r="A11" t="s">
        <v>12</v>
      </c>
      <c r="B11" t="s">
        <v>35</v>
      </c>
      <c r="C11" t="s">
        <v>176</v>
      </c>
      <c r="D11">
        <v>-15</v>
      </c>
      <c r="E11" s="8">
        <v>3136991506.3478699</v>
      </c>
      <c r="F11" s="8">
        <v>58741883598.099998</v>
      </c>
      <c r="G11" s="9"/>
      <c r="H11" s="8">
        <v>-3284272217.6883101</v>
      </c>
      <c r="I11" s="10">
        <v>198.76431684465601</v>
      </c>
      <c r="J11" s="9">
        <v>7.0971375310260765E-2</v>
      </c>
      <c r="K11" s="8"/>
      <c r="L11" s="8"/>
    </row>
    <row r="12" spans="1:13" x14ac:dyDescent="0.2">
      <c r="A12" t="s">
        <v>12</v>
      </c>
      <c r="B12" t="s">
        <v>35</v>
      </c>
      <c r="C12" t="s">
        <v>176</v>
      </c>
      <c r="D12">
        <v>-3</v>
      </c>
      <c r="E12" s="8">
        <v>1896231717.1584599</v>
      </c>
      <c r="F12" s="8">
        <v>58718751204.5</v>
      </c>
      <c r="G12" s="9"/>
      <c r="H12" s="8">
        <v>-1448453678.1342499</v>
      </c>
      <c r="I12" s="10">
        <v>322.63267425647501</v>
      </c>
      <c r="J12" s="9">
        <v>0.62319212712927818</v>
      </c>
      <c r="K12" s="8"/>
      <c r="L12" s="8"/>
    </row>
    <row r="13" spans="1:13" x14ac:dyDescent="0.2">
      <c r="A13" t="s">
        <v>12</v>
      </c>
      <c r="B13" t="s">
        <v>35</v>
      </c>
      <c r="C13" t="s">
        <v>176</v>
      </c>
      <c r="D13">
        <v>9</v>
      </c>
      <c r="E13" s="8">
        <v>4405117005.0066204</v>
      </c>
      <c r="F13" s="8">
        <v>60544707010.400002</v>
      </c>
      <c r="G13" s="9"/>
      <c r="H13" s="8">
        <v>1439114685.9087701</v>
      </c>
      <c r="I13" s="10">
        <v>327.50653333333298</v>
      </c>
      <c r="J13" s="9">
        <v>1.5106526603636979E-2</v>
      </c>
      <c r="K13" s="8"/>
      <c r="L13" s="8"/>
    </row>
    <row r="14" spans="1:13" x14ac:dyDescent="0.2">
      <c r="A14" t="s">
        <v>12</v>
      </c>
      <c r="B14" t="s">
        <v>35</v>
      </c>
      <c r="C14" t="s">
        <v>176</v>
      </c>
      <c r="D14">
        <v>21</v>
      </c>
      <c r="E14" s="8">
        <v>6093946546.3743696</v>
      </c>
      <c r="F14" s="8">
        <v>56827528393.800003</v>
      </c>
      <c r="G14" s="9"/>
      <c r="H14" s="8">
        <v>1205836416.8733599</v>
      </c>
      <c r="I14" s="10"/>
      <c r="J14" s="9"/>
      <c r="K14" s="8"/>
      <c r="L14" s="8"/>
    </row>
    <row r="15" spans="1:13" x14ac:dyDescent="0.2">
      <c r="A15" t="s">
        <v>12</v>
      </c>
      <c r="B15" t="s">
        <v>22</v>
      </c>
      <c r="C15" t="s">
        <v>177</v>
      </c>
      <c r="D15">
        <v>-17</v>
      </c>
      <c r="E15" s="8">
        <v>9916916899.6778107</v>
      </c>
      <c r="F15" s="8">
        <v>46584318739.800003</v>
      </c>
      <c r="G15" s="9"/>
      <c r="H15" s="8">
        <v>-2242743796.9495301</v>
      </c>
      <c r="I15" s="10">
        <v>5.8056999999999999</v>
      </c>
      <c r="J15" s="9">
        <v>3.7527271644192117E-2</v>
      </c>
      <c r="K15" s="8"/>
      <c r="L15" s="8"/>
    </row>
    <row r="16" spans="1:13" x14ac:dyDescent="0.2">
      <c r="A16" t="s">
        <v>12</v>
      </c>
      <c r="B16" t="s">
        <v>22</v>
      </c>
      <c r="C16" t="s">
        <v>177</v>
      </c>
      <c r="D16">
        <v>-5</v>
      </c>
      <c r="E16" s="8">
        <v>5205457212.2779999</v>
      </c>
      <c r="F16" s="8">
        <v>43607006146.099998</v>
      </c>
      <c r="G16" s="9"/>
      <c r="H16" s="8">
        <v>-1723247736.6387899</v>
      </c>
      <c r="I16" s="10">
        <v>8.2723999999999993</v>
      </c>
      <c r="J16" s="9">
        <v>0.42487555333551508</v>
      </c>
      <c r="K16" s="8"/>
      <c r="L16" s="8"/>
    </row>
    <row r="17" spans="1:12" x14ac:dyDescent="0.2">
      <c r="A17" t="s">
        <v>12</v>
      </c>
      <c r="B17" t="s">
        <v>22</v>
      </c>
      <c r="C17" t="s">
        <v>177</v>
      </c>
      <c r="D17">
        <v>7</v>
      </c>
      <c r="E17" s="8">
        <v>3623904994.5870199</v>
      </c>
      <c r="F17" s="8">
        <v>41700706280.400002</v>
      </c>
      <c r="G17" s="9"/>
      <c r="H17" s="8">
        <v>-734496650.09451103</v>
      </c>
      <c r="I17" s="10">
        <v>11.0204083333333</v>
      </c>
      <c r="J17" s="9">
        <v>0.33218997308318032</v>
      </c>
      <c r="K17" s="8"/>
      <c r="L17" s="8"/>
    </row>
    <row r="18" spans="1:12" x14ac:dyDescent="0.2">
      <c r="A18" t="s">
        <v>12</v>
      </c>
      <c r="B18" t="s">
        <v>22</v>
      </c>
      <c r="C18" t="s">
        <v>177</v>
      </c>
      <c r="D18">
        <v>19</v>
      </c>
      <c r="E18" s="8"/>
      <c r="F18" s="8">
        <v>37414621429.699997</v>
      </c>
      <c r="G18" s="9"/>
      <c r="H18" s="8">
        <v>1680567078.0077901</v>
      </c>
      <c r="I18" s="10">
        <v>14.181941666666701</v>
      </c>
      <c r="J18" s="9">
        <v>0.28687987211605842</v>
      </c>
      <c r="K18" s="8"/>
      <c r="L18" s="8"/>
    </row>
    <row r="19" spans="1:12" x14ac:dyDescent="0.2">
      <c r="A19" t="s">
        <v>12</v>
      </c>
      <c r="B19" t="s">
        <v>27</v>
      </c>
      <c r="C19" t="s">
        <v>178</v>
      </c>
      <c r="D19">
        <v>-15</v>
      </c>
      <c r="E19" s="8">
        <v>52380608542.395599</v>
      </c>
      <c r="F19" s="8">
        <v>79671964766.899994</v>
      </c>
      <c r="G19" s="9"/>
      <c r="H19" s="8">
        <v>-13366895810.871799</v>
      </c>
      <c r="I19" s="10">
        <v>1507.5</v>
      </c>
      <c r="J19" s="9">
        <v>0</v>
      </c>
      <c r="K19" s="8"/>
      <c r="L19" s="8"/>
    </row>
    <row r="20" spans="1:12" x14ac:dyDescent="0.2">
      <c r="A20" t="s">
        <v>12</v>
      </c>
      <c r="B20" t="s">
        <v>27</v>
      </c>
      <c r="C20" t="s">
        <v>178</v>
      </c>
      <c r="D20">
        <v>-3</v>
      </c>
      <c r="E20" s="8">
        <v>52213484574.221001</v>
      </c>
      <c r="F20" s="8">
        <v>73914514299.199997</v>
      </c>
      <c r="G20" s="9"/>
      <c r="H20" s="8">
        <v>-11264596490.479799</v>
      </c>
      <c r="I20" s="10">
        <v>1507.5</v>
      </c>
      <c r="J20" s="9">
        <v>0</v>
      </c>
      <c r="K20" s="8"/>
      <c r="L20" s="8"/>
    </row>
    <row r="21" spans="1:12" x14ac:dyDescent="0.2">
      <c r="A21" t="s">
        <v>12</v>
      </c>
      <c r="B21" t="s">
        <v>27</v>
      </c>
      <c r="C21" t="s">
        <v>178</v>
      </c>
      <c r="D21">
        <v>9</v>
      </c>
      <c r="E21" s="8">
        <v>42440403086.571297</v>
      </c>
      <c r="F21" s="8">
        <v>68899942020.600006</v>
      </c>
      <c r="G21" s="9"/>
      <c r="H21" s="8">
        <v>-2778566572.1531701</v>
      </c>
      <c r="I21" s="10">
        <v>1507.5</v>
      </c>
      <c r="J21" s="9">
        <v>0</v>
      </c>
      <c r="K21" s="8"/>
      <c r="L21" s="8"/>
    </row>
    <row r="22" spans="1:12" x14ac:dyDescent="0.2">
      <c r="A22" t="s">
        <v>12</v>
      </c>
      <c r="B22" t="s">
        <v>27</v>
      </c>
      <c r="C22" t="s">
        <v>178</v>
      </c>
      <c r="D22">
        <v>21</v>
      </c>
      <c r="E22" s="8">
        <v>35239219335.7146</v>
      </c>
      <c r="F22" s="8">
        <v>66924113512.199997</v>
      </c>
      <c r="G22" s="9"/>
      <c r="H22" s="8">
        <v>-4556486559.3492603</v>
      </c>
      <c r="I22" s="10">
        <v>1507.5</v>
      </c>
      <c r="J22" s="9">
        <v>0</v>
      </c>
      <c r="K22" s="8"/>
      <c r="L22" s="8"/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9"/>
  <sheetViews>
    <sheetView showGridLines="0" tabSelected="1" workbookViewId="0"/>
  </sheetViews>
  <sheetFormatPr baseColWidth="10" defaultColWidth="8.83203125" defaultRowHeight="15" x14ac:dyDescent="0.2"/>
  <cols>
    <col min="1" max="1" width="32" customWidth="1"/>
    <col min="2" max="3" width="90" customWidth="1"/>
  </cols>
  <sheetData>
    <row r="1" spans="1:3" x14ac:dyDescent="0.2">
      <c r="A1" s="12" t="s">
        <v>179</v>
      </c>
      <c r="B1" s="12" t="s">
        <v>180</v>
      </c>
      <c r="C1" s="12" t="s">
        <v>181</v>
      </c>
    </row>
    <row r="2" spans="1:3" x14ac:dyDescent="0.2">
      <c r="A2" s="13" t="s">
        <v>182</v>
      </c>
      <c r="B2" s="13" t="s">
        <v>183</v>
      </c>
      <c r="C2" s="13" t="s">
        <v>184</v>
      </c>
    </row>
    <row r="3" spans="1:3" ht="32" x14ac:dyDescent="0.2">
      <c r="A3" s="5" t="s">
        <v>185</v>
      </c>
      <c r="B3" s="5" t="s">
        <v>186</v>
      </c>
      <c r="C3" s="5" t="s">
        <v>187</v>
      </c>
    </row>
    <row r="4" spans="1:3" ht="16" x14ac:dyDescent="0.2">
      <c r="A4" s="5" t="s">
        <v>188</v>
      </c>
      <c r="B4" s="5" t="s">
        <v>189</v>
      </c>
      <c r="C4" s="5" t="s">
        <v>190</v>
      </c>
    </row>
    <row r="5" spans="1:3" ht="16" x14ac:dyDescent="0.2">
      <c r="A5" s="5" t="s">
        <v>191</v>
      </c>
      <c r="B5" s="5" t="s">
        <v>192</v>
      </c>
      <c r="C5" s="5" t="s">
        <v>193</v>
      </c>
    </row>
    <row r="6" spans="1:3" ht="16" x14ac:dyDescent="0.2">
      <c r="A6" s="5" t="s">
        <v>194</v>
      </c>
      <c r="B6" s="5" t="s">
        <v>195</v>
      </c>
      <c r="C6" s="5" t="s">
        <v>196</v>
      </c>
    </row>
    <row r="7" spans="1:3" ht="32" x14ac:dyDescent="0.2">
      <c r="A7" s="5" t="s">
        <v>197</v>
      </c>
      <c r="B7" s="5" t="s">
        <v>198</v>
      </c>
      <c r="C7" s="5" t="s">
        <v>199</v>
      </c>
    </row>
    <row r="8" spans="1:3" ht="32" x14ac:dyDescent="0.2">
      <c r="A8" s="5" t="s">
        <v>200</v>
      </c>
      <c r="B8" s="5" t="s">
        <v>201</v>
      </c>
      <c r="C8" s="5" t="s">
        <v>202</v>
      </c>
    </row>
    <row r="9" spans="1:3" ht="16" x14ac:dyDescent="0.2">
      <c r="A9" s="5" t="s">
        <v>203</v>
      </c>
      <c r="B9" s="5" t="s">
        <v>204</v>
      </c>
      <c r="C9" s="5" t="s">
        <v>205</v>
      </c>
    </row>
    <row r="10" spans="1:3" ht="32" x14ac:dyDescent="0.2">
      <c r="A10" s="5" t="s">
        <v>206</v>
      </c>
      <c r="B10" s="5" t="s">
        <v>207</v>
      </c>
      <c r="C10" s="5" t="s">
        <v>208</v>
      </c>
    </row>
    <row r="11" spans="1:3" ht="32" x14ac:dyDescent="0.2">
      <c r="A11" s="5" t="s">
        <v>209</v>
      </c>
      <c r="B11" s="5" t="s">
        <v>210</v>
      </c>
      <c r="C11" s="5" t="s">
        <v>211</v>
      </c>
    </row>
    <row r="12" spans="1:3" ht="16" x14ac:dyDescent="0.2">
      <c r="A12" s="5" t="s">
        <v>212</v>
      </c>
      <c r="B12" s="5" t="s">
        <v>213</v>
      </c>
      <c r="C12" s="5" t="s">
        <v>214</v>
      </c>
    </row>
    <row r="13" spans="1:3" ht="32" x14ac:dyDescent="0.2">
      <c r="A13" s="5" t="s">
        <v>215</v>
      </c>
      <c r="B13" s="5" t="s">
        <v>216</v>
      </c>
      <c r="C13" s="5" t="s">
        <v>217</v>
      </c>
    </row>
    <row r="14" spans="1:3" ht="64" x14ac:dyDescent="0.2">
      <c r="A14" s="5" t="s">
        <v>218</v>
      </c>
      <c r="B14" s="5" t="s">
        <v>219</v>
      </c>
      <c r="C14" s="5" t="s">
        <v>220</v>
      </c>
    </row>
    <row r="15" spans="1:3" x14ac:dyDescent="0.2">
      <c r="A15" t="s">
        <v>221</v>
      </c>
      <c r="B15" t="s">
        <v>222</v>
      </c>
      <c r="C15" t="s">
        <v>223</v>
      </c>
    </row>
    <row r="16" spans="1:3" x14ac:dyDescent="0.2">
      <c r="A16" t="s">
        <v>224</v>
      </c>
      <c r="B16" t="s">
        <v>225</v>
      </c>
      <c r="C16" t="s">
        <v>226</v>
      </c>
    </row>
    <row r="17" spans="1:3" x14ac:dyDescent="0.2">
      <c r="A17" t="s">
        <v>227</v>
      </c>
      <c r="B17" t="s">
        <v>228</v>
      </c>
      <c r="C17" t="s">
        <v>229</v>
      </c>
    </row>
    <row r="18" spans="1:3" x14ac:dyDescent="0.2">
      <c r="A18" t="s">
        <v>230</v>
      </c>
      <c r="B18" t="s">
        <v>231</v>
      </c>
      <c r="C18" t="s">
        <v>232</v>
      </c>
    </row>
    <row r="19" spans="1:3" x14ac:dyDescent="0.2">
      <c r="A19" t="s">
        <v>233</v>
      </c>
      <c r="B19" t="s">
        <v>234</v>
      </c>
      <c r="C19" t="s">
        <v>235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9"/>
  <sheetViews>
    <sheetView workbookViewId="0"/>
  </sheetViews>
  <sheetFormatPr baseColWidth="10" defaultColWidth="8.83203125" defaultRowHeight="15" x14ac:dyDescent="0.2"/>
  <cols>
    <col min="1" max="1" width="18" customWidth="1"/>
    <col min="2" max="2" width="15" customWidth="1"/>
    <col min="3" max="3" width="16" customWidth="1"/>
    <col min="4" max="4" width="12" customWidth="1"/>
    <col min="5" max="5" width="18" customWidth="1"/>
    <col min="6" max="6" width="22" customWidth="1"/>
    <col min="7" max="7" width="14" customWidth="1"/>
    <col min="8" max="8" width="24" customWidth="1"/>
    <col min="9" max="9" width="42" customWidth="1"/>
    <col min="10" max="14" width="13" customWidth="1"/>
    <col min="15" max="18" width="34" customWidth="1"/>
    <col min="19" max="21" width="30" customWidth="1"/>
    <col min="22" max="22" width="44" customWidth="1"/>
  </cols>
  <sheetData>
    <row r="1" spans="1:22" ht="32" customHeight="1" x14ac:dyDescent="0.2">
      <c r="A1" s="14" t="s">
        <v>236</v>
      </c>
    </row>
    <row r="2" spans="1:22" ht="50.75" customHeight="1" x14ac:dyDescent="0.2">
      <c r="A2" s="15" t="s">
        <v>237</v>
      </c>
    </row>
    <row r="4" spans="1:22" ht="29.25" customHeight="1" x14ac:dyDescent="0.2">
      <c r="A4" s="16" t="s">
        <v>1</v>
      </c>
      <c r="B4" s="16" t="s">
        <v>3</v>
      </c>
      <c r="C4" s="16" t="s">
        <v>4</v>
      </c>
      <c r="D4" s="16" t="s">
        <v>5</v>
      </c>
      <c r="E4" s="16" t="s">
        <v>238</v>
      </c>
      <c r="F4" s="16" t="s">
        <v>105</v>
      </c>
      <c r="G4" s="16" t="s">
        <v>239</v>
      </c>
      <c r="H4" s="16" t="s">
        <v>240</v>
      </c>
      <c r="I4" s="16" t="s">
        <v>241</v>
      </c>
      <c r="J4" s="16" t="s">
        <v>242</v>
      </c>
      <c r="K4" s="16" t="s">
        <v>243</v>
      </c>
      <c r="L4" s="16" t="s">
        <v>244</v>
      </c>
      <c r="M4" s="16" t="s">
        <v>245</v>
      </c>
      <c r="N4" s="16" t="s">
        <v>246</v>
      </c>
      <c r="O4" s="16" t="s">
        <v>247</v>
      </c>
      <c r="P4" s="16" t="s">
        <v>248</v>
      </c>
      <c r="Q4" s="16" t="s">
        <v>249</v>
      </c>
      <c r="R4" s="16" t="s">
        <v>250</v>
      </c>
      <c r="S4" s="16" t="s">
        <v>251</v>
      </c>
      <c r="T4" s="16" t="s">
        <v>252</v>
      </c>
      <c r="U4" s="16" t="s">
        <v>253</v>
      </c>
      <c r="V4" s="16" t="s">
        <v>254</v>
      </c>
    </row>
    <row r="5" spans="1:22" ht="45.25" customHeight="1" x14ac:dyDescent="0.2">
      <c r="A5" s="17" t="s">
        <v>37</v>
      </c>
      <c r="B5" s="18">
        <v>218158000000</v>
      </c>
      <c r="C5" s="18">
        <v>499842000000</v>
      </c>
      <c r="D5" s="19">
        <v>0.26700000000000002</v>
      </c>
      <c r="E5" s="18">
        <v>-44961000000</v>
      </c>
      <c r="F5" s="17" t="s">
        <v>255</v>
      </c>
      <c r="G5" s="19">
        <v>-2.7E-2</v>
      </c>
      <c r="H5" s="17" t="s">
        <v>256</v>
      </c>
      <c r="I5" s="17" t="s">
        <v>257</v>
      </c>
      <c r="J5" s="20" t="s">
        <v>258</v>
      </c>
      <c r="K5" s="20" t="s">
        <v>259</v>
      </c>
      <c r="L5" s="20" t="s">
        <v>260</v>
      </c>
      <c r="M5" s="20" t="s">
        <v>259</v>
      </c>
      <c r="N5" s="20" t="s">
        <v>261</v>
      </c>
      <c r="O5" s="21" t="s">
        <v>262</v>
      </c>
      <c r="P5" s="21" t="s">
        <v>263</v>
      </c>
      <c r="Q5" s="21" t="s">
        <v>264</v>
      </c>
      <c r="R5" s="21" t="s">
        <v>265</v>
      </c>
      <c r="S5" s="21" t="s">
        <v>266</v>
      </c>
      <c r="T5" s="21" t="s">
        <v>267</v>
      </c>
      <c r="U5" s="21" t="s">
        <v>268</v>
      </c>
      <c r="V5" s="20" t="s">
        <v>269</v>
      </c>
    </row>
    <row r="6" spans="1:22" ht="45.25" customHeight="1" x14ac:dyDescent="0.2">
      <c r="A6" s="17" t="s">
        <v>21</v>
      </c>
      <c r="B6" s="18">
        <v>35310000000</v>
      </c>
      <c r="C6" s="18">
        <v>168062000000</v>
      </c>
      <c r="D6" s="19">
        <v>0.86599999999999999</v>
      </c>
      <c r="E6" s="18">
        <v>-10536560000</v>
      </c>
      <c r="F6" s="17" t="s">
        <v>270</v>
      </c>
      <c r="G6" s="19">
        <v>-0.1002</v>
      </c>
      <c r="H6" s="17" t="s">
        <v>271</v>
      </c>
      <c r="I6" s="17" t="s">
        <v>272</v>
      </c>
      <c r="J6" s="20" t="s">
        <v>273</v>
      </c>
      <c r="K6" s="20" t="s">
        <v>259</v>
      </c>
      <c r="L6" s="20" t="s">
        <v>260</v>
      </c>
      <c r="M6" s="20" t="s">
        <v>274</v>
      </c>
      <c r="N6" s="20" t="s">
        <v>261</v>
      </c>
      <c r="O6" s="21" t="s">
        <v>262</v>
      </c>
      <c r="P6" s="21" t="s">
        <v>263</v>
      </c>
      <c r="Q6" s="21" t="s">
        <v>264</v>
      </c>
      <c r="R6" s="21" t="s">
        <v>265</v>
      </c>
      <c r="S6" s="21" t="s">
        <v>275</v>
      </c>
      <c r="T6" s="21" t="s">
        <v>267</v>
      </c>
      <c r="U6" s="21" t="s">
        <v>276</v>
      </c>
      <c r="V6" s="20" t="s">
        <v>277</v>
      </c>
    </row>
    <row r="7" spans="1:22" ht="45.25" customHeight="1" x14ac:dyDescent="0.2">
      <c r="A7" s="17" t="s">
        <v>24</v>
      </c>
      <c r="B7" s="18">
        <v>18765000000</v>
      </c>
      <c r="C7" s="18">
        <v>44630000000</v>
      </c>
      <c r="D7" s="19">
        <v>0.92600000000000005</v>
      </c>
      <c r="E7" s="18">
        <v>-4159130000</v>
      </c>
      <c r="F7" s="17" t="s">
        <v>278</v>
      </c>
      <c r="G7" s="19">
        <v>-4.0000000000000002E-4</v>
      </c>
      <c r="H7" s="17" t="s">
        <v>271</v>
      </c>
      <c r="I7" s="17" t="s">
        <v>279</v>
      </c>
      <c r="J7" s="20" t="s">
        <v>273</v>
      </c>
      <c r="K7" s="20" t="s">
        <v>259</v>
      </c>
      <c r="L7" s="20" t="s">
        <v>260</v>
      </c>
      <c r="M7" s="20" t="s">
        <v>274</v>
      </c>
      <c r="N7" s="20" t="s">
        <v>261</v>
      </c>
      <c r="O7" s="21" t="s">
        <v>262</v>
      </c>
      <c r="P7" s="21" t="s">
        <v>263</v>
      </c>
      <c r="Q7" s="21" t="s">
        <v>264</v>
      </c>
      <c r="R7" s="21" t="s">
        <v>265</v>
      </c>
      <c r="S7" s="21" t="s">
        <v>280</v>
      </c>
      <c r="T7" s="21" t="s">
        <v>267</v>
      </c>
      <c r="U7" s="21" t="s">
        <v>281</v>
      </c>
      <c r="V7" s="20" t="s">
        <v>282</v>
      </c>
    </row>
    <row r="8" spans="1:22" ht="45.25" customHeight="1" x14ac:dyDescent="0.2">
      <c r="A8" s="17" t="s">
        <v>27</v>
      </c>
      <c r="B8" s="18">
        <v>14738000000</v>
      </c>
      <c r="C8" s="18">
        <v>66296000000</v>
      </c>
      <c r="D8" s="19">
        <v>1.641</v>
      </c>
      <c r="E8" s="18">
        <v>-5642830000</v>
      </c>
      <c r="F8" s="17" t="s">
        <v>283</v>
      </c>
      <c r="G8" s="19">
        <v>-1E-4</v>
      </c>
      <c r="H8" s="17" t="s">
        <v>256</v>
      </c>
      <c r="I8" s="17" t="s">
        <v>284</v>
      </c>
      <c r="J8" s="20" t="s">
        <v>273</v>
      </c>
      <c r="K8" s="20" t="s">
        <v>259</v>
      </c>
      <c r="L8" s="20" t="s">
        <v>285</v>
      </c>
      <c r="M8" s="20" t="s">
        <v>259</v>
      </c>
      <c r="N8" s="20" t="s">
        <v>261</v>
      </c>
      <c r="O8" s="21" t="s">
        <v>262</v>
      </c>
      <c r="P8" s="21" t="s">
        <v>263</v>
      </c>
      <c r="Q8" s="21" t="s">
        <v>286</v>
      </c>
      <c r="R8" s="21" t="s">
        <v>265</v>
      </c>
      <c r="S8" s="21" t="s">
        <v>287</v>
      </c>
      <c r="T8" s="21" t="s">
        <v>267</v>
      </c>
      <c r="U8" s="21" t="s">
        <v>288</v>
      </c>
      <c r="V8" s="20" t="s">
        <v>289</v>
      </c>
    </row>
    <row r="9" spans="1:22" ht="45.25" customHeight="1" x14ac:dyDescent="0.2">
      <c r="A9" s="17" t="s">
        <v>13</v>
      </c>
      <c r="B9" s="18">
        <v>20846000000</v>
      </c>
      <c r="C9" s="18">
        <v>266167000000</v>
      </c>
      <c r="D9" s="19">
        <v>0.73099999999999998</v>
      </c>
      <c r="E9" s="18">
        <v>-21493970000</v>
      </c>
      <c r="F9" s="17" t="s">
        <v>290</v>
      </c>
      <c r="G9" s="19">
        <v>3.8600000000000002E-2</v>
      </c>
      <c r="H9" s="17" t="s">
        <v>271</v>
      </c>
      <c r="I9" s="17" t="s">
        <v>291</v>
      </c>
      <c r="J9" s="20" t="s">
        <v>273</v>
      </c>
      <c r="K9" s="20" t="s">
        <v>259</v>
      </c>
      <c r="L9" s="20" t="s">
        <v>260</v>
      </c>
      <c r="M9" s="20" t="s">
        <v>259</v>
      </c>
      <c r="N9" s="20" t="s">
        <v>261</v>
      </c>
      <c r="O9" s="21" t="s">
        <v>262</v>
      </c>
      <c r="P9" s="21" t="s">
        <v>263</v>
      </c>
      <c r="Q9" s="21" t="s">
        <v>264</v>
      </c>
      <c r="R9" s="21" t="s">
        <v>265</v>
      </c>
      <c r="S9" s="21" t="s">
        <v>292</v>
      </c>
      <c r="T9" s="21" t="s">
        <v>267</v>
      </c>
      <c r="U9" s="21" t="s">
        <v>293</v>
      </c>
      <c r="V9" s="20" t="s">
        <v>294</v>
      </c>
    </row>
    <row r="10" spans="1:22" ht="45.25" customHeight="1" x14ac:dyDescent="0.2">
      <c r="A10" s="17" t="s">
        <v>31</v>
      </c>
      <c r="B10" s="18">
        <v>19850000000</v>
      </c>
      <c r="C10" s="18">
        <v>130847000000</v>
      </c>
      <c r="D10" s="19">
        <v>0.73599999999999999</v>
      </c>
      <c r="E10" s="18">
        <v>-350040000</v>
      </c>
      <c r="F10" s="17" t="s">
        <v>295</v>
      </c>
      <c r="G10" s="19">
        <v>2E-3</v>
      </c>
      <c r="H10" s="17" t="s">
        <v>271</v>
      </c>
      <c r="I10" s="17" t="s">
        <v>296</v>
      </c>
      <c r="J10" s="20" t="s">
        <v>297</v>
      </c>
      <c r="K10" s="20" t="s">
        <v>259</v>
      </c>
      <c r="L10" s="20" t="s">
        <v>260</v>
      </c>
      <c r="M10" s="20" t="s">
        <v>259</v>
      </c>
      <c r="N10" s="20" t="s">
        <v>261</v>
      </c>
      <c r="O10" s="21" t="s">
        <v>262</v>
      </c>
      <c r="P10" s="21" t="s">
        <v>263</v>
      </c>
      <c r="Q10" s="21" t="s">
        <v>264</v>
      </c>
      <c r="R10" s="21" t="s">
        <v>265</v>
      </c>
      <c r="S10" s="21" t="s">
        <v>298</v>
      </c>
      <c r="T10" s="21" t="s">
        <v>267</v>
      </c>
      <c r="U10" s="21" t="s">
        <v>299</v>
      </c>
      <c r="V10" s="20" t="s">
        <v>300</v>
      </c>
    </row>
    <row r="11" spans="1:22" ht="45.25" customHeight="1" x14ac:dyDescent="0.2">
      <c r="A11" s="17" t="s">
        <v>35</v>
      </c>
      <c r="B11" s="18">
        <v>6467000000</v>
      </c>
      <c r="C11" s="18">
        <v>61706000000</v>
      </c>
      <c r="D11" s="19">
        <v>1.1766099999999999</v>
      </c>
      <c r="E11" s="18">
        <v>1558910000</v>
      </c>
      <c r="F11" s="17" t="s">
        <v>301</v>
      </c>
      <c r="G11" s="19">
        <v>-5.8999999999999999E-3</v>
      </c>
      <c r="H11" s="17" t="s">
        <v>271</v>
      </c>
      <c r="I11" s="17" t="s">
        <v>302</v>
      </c>
      <c r="J11" s="20" t="s">
        <v>303</v>
      </c>
      <c r="K11" s="20" t="s">
        <v>259</v>
      </c>
      <c r="L11" s="20" t="s">
        <v>260</v>
      </c>
      <c r="M11" s="20" t="s">
        <v>259</v>
      </c>
      <c r="N11" s="20" t="s">
        <v>261</v>
      </c>
      <c r="O11" s="21" t="s">
        <v>262</v>
      </c>
      <c r="P11" s="21" t="s">
        <v>263</v>
      </c>
      <c r="Q11" s="21" t="s">
        <v>264</v>
      </c>
      <c r="R11" s="21" t="s">
        <v>265</v>
      </c>
      <c r="S11" s="21" t="s">
        <v>304</v>
      </c>
      <c r="T11" s="21" t="s">
        <v>267</v>
      </c>
      <c r="U11" s="21" t="s">
        <v>305</v>
      </c>
      <c r="V11" s="20" t="s">
        <v>306</v>
      </c>
    </row>
    <row r="12" spans="1:22" ht="45.25" customHeight="1" x14ac:dyDescent="0.2">
      <c r="A12" s="17" t="s">
        <v>36</v>
      </c>
      <c r="B12" s="18">
        <v>8623000000</v>
      </c>
      <c r="C12" s="18">
        <v>41279000000</v>
      </c>
      <c r="D12" s="19">
        <v>0.82899999999999996</v>
      </c>
      <c r="E12" s="18">
        <v>-4018320000</v>
      </c>
      <c r="F12" s="17" t="s">
        <v>307</v>
      </c>
      <c r="G12" s="19">
        <v>-0.01</v>
      </c>
      <c r="H12" s="17" t="s">
        <v>271</v>
      </c>
      <c r="I12" s="17" t="s">
        <v>308</v>
      </c>
      <c r="J12" s="20" t="s">
        <v>309</v>
      </c>
      <c r="K12" s="20" t="s">
        <v>259</v>
      </c>
      <c r="L12" s="20" t="s">
        <v>260</v>
      </c>
      <c r="M12" s="20" t="s">
        <v>274</v>
      </c>
      <c r="N12" s="20" t="s">
        <v>261</v>
      </c>
      <c r="O12" s="21" t="s">
        <v>262</v>
      </c>
      <c r="P12" s="21" t="s">
        <v>263</v>
      </c>
      <c r="Q12" s="21" t="s">
        <v>264</v>
      </c>
      <c r="R12" s="21" t="s">
        <v>265</v>
      </c>
      <c r="S12" s="21" t="s">
        <v>310</v>
      </c>
      <c r="T12" s="21" t="s">
        <v>267</v>
      </c>
      <c r="U12" s="21" t="s">
        <v>311</v>
      </c>
      <c r="V12" s="20" t="s">
        <v>312</v>
      </c>
    </row>
    <row r="13" spans="1:22" ht="45.25" customHeight="1" x14ac:dyDescent="0.2">
      <c r="A13" s="17" t="s">
        <v>29</v>
      </c>
      <c r="B13" s="18">
        <v>32037000000</v>
      </c>
      <c r="C13" s="18">
        <v>69267000000</v>
      </c>
      <c r="D13" s="19">
        <v>0.7</v>
      </c>
      <c r="E13" s="18">
        <v>-4775210000</v>
      </c>
      <c r="F13" s="17" t="s">
        <v>313</v>
      </c>
      <c r="G13" s="19">
        <v>-2.8899999999999999E-2</v>
      </c>
      <c r="H13" s="17" t="s">
        <v>271</v>
      </c>
      <c r="I13" s="17" t="s">
        <v>314</v>
      </c>
      <c r="J13" s="20" t="s">
        <v>273</v>
      </c>
      <c r="K13" s="20" t="s">
        <v>259</v>
      </c>
      <c r="L13" s="20" t="s">
        <v>285</v>
      </c>
      <c r="M13" s="20" t="s">
        <v>274</v>
      </c>
      <c r="N13" s="20" t="s">
        <v>261</v>
      </c>
      <c r="O13" s="21" t="s">
        <v>262</v>
      </c>
      <c r="P13" s="21" t="s">
        <v>263</v>
      </c>
      <c r="Q13" s="21" t="s">
        <v>315</v>
      </c>
      <c r="R13" s="21" t="s">
        <v>265</v>
      </c>
      <c r="S13" s="21" t="s">
        <v>316</v>
      </c>
      <c r="T13" s="21" t="s">
        <v>267</v>
      </c>
      <c r="U13" s="21" t="s">
        <v>317</v>
      </c>
      <c r="V13" s="20" t="s">
        <v>318</v>
      </c>
    </row>
    <row r="14" spans="1:22" ht="45.25" customHeight="1" x14ac:dyDescent="0.2">
      <c r="A14" s="17" t="s">
        <v>17</v>
      </c>
      <c r="B14" s="18">
        <v>32120000000</v>
      </c>
      <c r="C14" s="18">
        <v>101447000000</v>
      </c>
      <c r="D14" s="19">
        <v>0.32200000000000001</v>
      </c>
      <c r="E14" s="18">
        <v>4387570000</v>
      </c>
      <c r="F14" s="17" t="s">
        <v>319</v>
      </c>
      <c r="G14" s="19">
        <v>-3.5000000000000001E-3</v>
      </c>
      <c r="H14" s="17" t="s">
        <v>271</v>
      </c>
      <c r="I14" s="17" t="s">
        <v>320</v>
      </c>
      <c r="J14" s="20" t="s">
        <v>321</v>
      </c>
      <c r="K14" s="20" t="s">
        <v>259</v>
      </c>
      <c r="L14" s="20" t="s">
        <v>285</v>
      </c>
      <c r="M14" s="20" t="s">
        <v>259</v>
      </c>
      <c r="N14" s="20" t="s">
        <v>261</v>
      </c>
      <c r="O14" s="21" t="s">
        <v>262</v>
      </c>
      <c r="P14" s="21" t="s">
        <v>263</v>
      </c>
      <c r="Q14" s="21" t="s">
        <v>322</v>
      </c>
      <c r="R14" s="21" t="s">
        <v>265</v>
      </c>
      <c r="S14" s="21" t="s">
        <v>323</v>
      </c>
      <c r="T14" s="21" t="s">
        <v>267</v>
      </c>
      <c r="U14" s="21" t="s">
        <v>324</v>
      </c>
      <c r="V14" s="20" t="s">
        <v>325</v>
      </c>
    </row>
    <row r="15" spans="1:22" ht="45.25" customHeight="1" x14ac:dyDescent="0.2">
      <c r="A15" s="17" t="s">
        <v>26</v>
      </c>
      <c r="B15" s="18">
        <v>6919000000</v>
      </c>
      <c r="C15" s="18">
        <v>42910000000</v>
      </c>
      <c r="D15" s="19">
        <v>0.58099999999999996</v>
      </c>
      <c r="E15" s="18">
        <v>-5765540000</v>
      </c>
      <c r="F15" s="17" t="s">
        <v>326</v>
      </c>
      <c r="G15" s="19">
        <v>-2E-3</v>
      </c>
      <c r="H15" s="17" t="s">
        <v>271</v>
      </c>
      <c r="I15" s="17" t="s">
        <v>327</v>
      </c>
      <c r="J15" s="20" t="s">
        <v>328</v>
      </c>
      <c r="K15" s="20" t="s">
        <v>259</v>
      </c>
      <c r="L15" s="20" t="s">
        <v>329</v>
      </c>
      <c r="M15" s="20" t="s">
        <v>274</v>
      </c>
      <c r="N15" s="20" t="s">
        <v>261</v>
      </c>
      <c r="O15" s="21" t="s">
        <v>330</v>
      </c>
      <c r="P15" s="21" t="s">
        <v>263</v>
      </c>
      <c r="Q15" s="21" t="s">
        <v>331</v>
      </c>
      <c r="R15" s="21" t="s">
        <v>265</v>
      </c>
      <c r="S15" s="21" t="s">
        <v>332</v>
      </c>
      <c r="T15" s="21" t="s">
        <v>267</v>
      </c>
      <c r="U15" s="21" t="s">
        <v>333</v>
      </c>
      <c r="V15" s="20" t="s">
        <v>334</v>
      </c>
    </row>
    <row r="16" spans="1:22" ht="45.25" customHeight="1" x14ac:dyDescent="0.2">
      <c r="A16" s="17" t="s">
        <v>22</v>
      </c>
      <c r="B16" s="18">
        <v>3368000000</v>
      </c>
      <c r="C16" s="18">
        <v>43742000000</v>
      </c>
      <c r="D16" s="19">
        <v>0.66400000000000003</v>
      </c>
      <c r="E16" s="18">
        <v>-1516940000</v>
      </c>
      <c r="F16" s="17" t="s">
        <v>335</v>
      </c>
      <c r="G16" s="19">
        <v>-3.4500000000000003E-2</v>
      </c>
      <c r="H16" s="17" t="s">
        <v>271</v>
      </c>
      <c r="I16" s="17" t="s">
        <v>336</v>
      </c>
      <c r="J16" s="20" t="s">
        <v>273</v>
      </c>
      <c r="K16" s="20" t="s">
        <v>259</v>
      </c>
      <c r="L16" s="20" t="s">
        <v>260</v>
      </c>
      <c r="M16" s="20" t="s">
        <v>274</v>
      </c>
      <c r="N16" s="20" t="s">
        <v>261</v>
      </c>
      <c r="O16" s="21" t="s">
        <v>262</v>
      </c>
      <c r="P16" s="21" t="s">
        <v>263</v>
      </c>
      <c r="Q16" s="21" t="s">
        <v>264</v>
      </c>
      <c r="R16" s="21" t="s">
        <v>265</v>
      </c>
      <c r="S16" s="21" t="s">
        <v>337</v>
      </c>
      <c r="T16" s="21" t="s">
        <v>267</v>
      </c>
      <c r="U16" s="21" t="s">
        <v>338</v>
      </c>
      <c r="V16" s="20" t="s">
        <v>339</v>
      </c>
    </row>
    <row r="17" spans="1:22" ht="45.25" customHeight="1" x14ac:dyDescent="0.2">
      <c r="A17" s="17" t="s">
        <v>38</v>
      </c>
      <c r="B17" s="18">
        <v>1433000000</v>
      </c>
      <c r="C17" s="18">
        <v>29029000000</v>
      </c>
      <c r="D17" s="19">
        <v>1.175</v>
      </c>
      <c r="E17" s="18">
        <v>1093010000</v>
      </c>
      <c r="F17" s="17" t="s">
        <v>340</v>
      </c>
      <c r="G17" s="19">
        <v>0.1129</v>
      </c>
      <c r="H17" s="17" t="s">
        <v>271</v>
      </c>
      <c r="I17" s="17" t="s">
        <v>341</v>
      </c>
      <c r="J17" s="20" t="s">
        <v>273</v>
      </c>
      <c r="K17" s="20" t="s">
        <v>259</v>
      </c>
      <c r="L17" s="20" t="s">
        <v>260</v>
      </c>
      <c r="M17" s="20" t="s">
        <v>274</v>
      </c>
      <c r="N17" s="20" t="s">
        <v>261</v>
      </c>
      <c r="O17" s="21" t="s">
        <v>262</v>
      </c>
      <c r="P17" s="21" t="s">
        <v>263</v>
      </c>
      <c r="Q17" s="21" t="s">
        <v>264</v>
      </c>
      <c r="R17" s="21" t="s">
        <v>265</v>
      </c>
      <c r="S17" s="21" t="s">
        <v>342</v>
      </c>
      <c r="T17" s="21" t="s">
        <v>267</v>
      </c>
      <c r="U17" s="21" t="s">
        <v>343</v>
      </c>
      <c r="V17" s="20" t="s">
        <v>344</v>
      </c>
    </row>
    <row r="18" spans="1:22" ht="45.25" customHeight="1" x14ac:dyDescent="0.2">
      <c r="A18" s="17" t="s">
        <v>127</v>
      </c>
      <c r="B18" s="18">
        <v>40507000000</v>
      </c>
      <c r="C18" s="18">
        <v>176645000000</v>
      </c>
      <c r="D18" s="19">
        <v>1.1000000000000001</v>
      </c>
      <c r="E18" s="18">
        <v>-9209000000</v>
      </c>
      <c r="F18" s="17" t="s">
        <v>345</v>
      </c>
      <c r="G18" s="19">
        <v>-4.9599999999999998E-2</v>
      </c>
      <c r="H18" s="17" t="s">
        <v>271</v>
      </c>
      <c r="I18" s="17" t="s">
        <v>346</v>
      </c>
      <c r="J18" s="20" t="s">
        <v>273</v>
      </c>
      <c r="K18" s="20" t="s">
        <v>259</v>
      </c>
      <c r="L18" s="20" t="s">
        <v>260</v>
      </c>
      <c r="M18" s="20" t="s">
        <v>259</v>
      </c>
      <c r="N18" s="20" t="s">
        <v>261</v>
      </c>
      <c r="O18" s="21" t="s">
        <v>262</v>
      </c>
      <c r="P18" s="21" t="s">
        <v>263</v>
      </c>
      <c r="Q18" s="21" t="s">
        <v>264</v>
      </c>
      <c r="R18" s="21" t="s">
        <v>265</v>
      </c>
      <c r="S18" s="21" t="s">
        <v>347</v>
      </c>
      <c r="T18" s="21" t="s">
        <v>267</v>
      </c>
      <c r="U18" s="21" t="s">
        <v>348</v>
      </c>
      <c r="V18" s="20" t="s">
        <v>349</v>
      </c>
    </row>
    <row r="19" spans="1:22" ht="45.25" customHeight="1" x14ac:dyDescent="0.2">
      <c r="A19" s="17" t="s">
        <v>30</v>
      </c>
      <c r="B19" s="18">
        <v>34980000000</v>
      </c>
      <c r="C19" s="18">
        <v>102482000000</v>
      </c>
      <c r="D19" s="19">
        <v>0.52500000000000002</v>
      </c>
      <c r="E19" s="18">
        <v>-805780000</v>
      </c>
      <c r="F19" s="17" t="s">
        <v>350</v>
      </c>
      <c r="G19" s="19">
        <v>4.2799999999999998E-2</v>
      </c>
      <c r="H19" s="17" t="s">
        <v>256</v>
      </c>
      <c r="I19" s="17" t="s">
        <v>351</v>
      </c>
      <c r="J19" s="20" t="s">
        <v>273</v>
      </c>
      <c r="K19" s="20" t="s">
        <v>259</v>
      </c>
      <c r="L19" s="20" t="s">
        <v>260</v>
      </c>
      <c r="M19" s="20" t="s">
        <v>259</v>
      </c>
      <c r="N19" s="20" t="s">
        <v>261</v>
      </c>
      <c r="O19" s="21" t="s">
        <v>262</v>
      </c>
      <c r="P19" s="21" t="s">
        <v>263</v>
      </c>
      <c r="Q19" s="21" t="s">
        <v>264</v>
      </c>
      <c r="R19" s="21" t="s">
        <v>265</v>
      </c>
      <c r="S19" s="21" t="s">
        <v>352</v>
      </c>
      <c r="T19" s="21" t="s">
        <v>267</v>
      </c>
      <c r="U19" s="21" t="s">
        <v>353</v>
      </c>
      <c r="V19" s="20" t="s">
        <v>354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6"/>
  <sheetViews>
    <sheetView workbookViewId="0"/>
  </sheetViews>
  <sheetFormatPr baseColWidth="10" defaultColWidth="8.83203125" defaultRowHeight="15" x14ac:dyDescent="0.2"/>
  <cols>
    <col min="1" max="1" width="22" customWidth="1"/>
    <col min="2" max="2" width="90" customWidth="1"/>
    <col min="3" max="8" width="15" customWidth="1"/>
  </cols>
  <sheetData>
    <row r="1" spans="1:2" ht="19" x14ac:dyDescent="0.25">
      <c r="A1" s="22" t="s">
        <v>355</v>
      </c>
    </row>
    <row r="2" spans="1:2" ht="16" x14ac:dyDescent="0.2">
      <c r="A2" s="23" t="s">
        <v>356</v>
      </c>
    </row>
    <row r="4" spans="1:2" ht="32" customHeight="1" x14ac:dyDescent="0.2">
      <c r="A4" t="s">
        <v>357</v>
      </c>
      <c r="B4" s="5" t="s">
        <v>358</v>
      </c>
    </row>
    <row r="5" spans="1:2" ht="32" customHeight="1" x14ac:dyDescent="0.2">
      <c r="A5" t="s">
        <v>357</v>
      </c>
      <c r="B5" s="5" t="s">
        <v>359</v>
      </c>
    </row>
    <row r="6" spans="1:2" ht="32" customHeight="1" x14ac:dyDescent="0.2">
      <c r="A6" t="s">
        <v>357</v>
      </c>
      <c r="B6" s="5" t="s">
        <v>360</v>
      </c>
    </row>
    <row r="7" spans="1:2" ht="32" customHeight="1" x14ac:dyDescent="0.2">
      <c r="A7" t="s">
        <v>357</v>
      </c>
      <c r="B7" s="5" t="s">
        <v>361</v>
      </c>
    </row>
    <row r="8" spans="1:2" ht="32" customHeight="1" x14ac:dyDescent="0.2">
      <c r="A8" t="s">
        <v>357</v>
      </c>
      <c r="B8" s="5" t="s">
        <v>362</v>
      </c>
    </row>
    <row r="9" spans="1:2" ht="32" customHeight="1" x14ac:dyDescent="0.2">
      <c r="A9" t="s">
        <v>357</v>
      </c>
      <c r="B9" s="5" t="s">
        <v>363</v>
      </c>
    </row>
    <row r="10" spans="1:2" ht="32" customHeight="1" x14ac:dyDescent="0.2">
      <c r="A10" t="s">
        <v>357</v>
      </c>
      <c r="B10" s="5" t="s">
        <v>364</v>
      </c>
    </row>
    <row r="11" spans="1:2" ht="32" customHeight="1" x14ac:dyDescent="0.2">
      <c r="A11" t="s">
        <v>357</v>
      </c>
      <c r="B11" s="5" t="s">
        <v>365</v>
      </c>
    </row>
    <row r="12" spans="1:2" ht="32" customHeight="1" x14ac:dyDescent="0.2">
      <c r="A12" t="s">
        <v>357</v>
      </c>
      <c r="B12" s="5" t="s">
        <v>366</v>
      </c>
    </row>
    <row r="13" spans="1:2" ht="32" customHeight="1" x14ac:dyDescent="0.2">
      <c r="A13" t="s">
        <v>357</v>
      </c>
      <c r="B13" s="5" t="s">
        <v>367</v>
      </c>
    </row>
    <row r="14" spans="1:2" ht="32" customHeight="1" x14ac:dyDescent="0.2">
      <c r="A14" t="s">
        <v>357</v>
      </c>
      <c r="B14" s="5" t="s">
        <v>368</v>
      </c>
    </row>
    <row r="15" spans="1:2" ht="32" customHeight="1" x14ac:dyDescent="0.2"/>
    <row r="16" spans="1:2" ht="32" customHeight="1" x14ac:dyDescent="0.2">
      <c r="A16" s="23" t="s">
        <v>369</v>
      </c>
    </row>
    <row r="17" spans="1:2" ht="32" customHeight="1" x14ac:dyDescent="0.2"/>
    <row r="18" spans="1:2" ht="32" customHeight="1" x14ac:dyDescent="0.2">
      <c r="A18" s="24" t="s">
        <v>1</v>
      </c>
      <c r="B18" t="s">
        <v>370</v>
      </c>
    </row>
    <row r="19" spans="1:2" ht="32" customHeight="1" x14ac:dyDescent="0.2">
      <c r="A19" s="24" t="s">
        <v>3</v>
      </c>
      <c r="B19" t="s">
        <v>371</v>
      </c>
    </row>
    <row r="20" spans="1:2" ht="32" customHeight="1" x14ac:dyDescent="0.2">
      <c r="A20" s="24" t="s">
        <v>4</v>
      </c>
      <c r="B20" t="s">
        <v>372</v>
      </c>
    </row>
    <row r="21" spans="1:2" ht="32" customHeight="1" x14ac:dyDescent="0.2">
      <c r="A21" s="24" t="s">
        <v>5</v>
      </c>
      <c r="B21" t="s">
        <v>373</v>
      </c>
    </row>
    <row r="22" spans="1:2" ht="32" customHeight="1" x14ac:dyDescent="0.2">
      <c r="A22" s="24" t="s">
        <v>238</v>
      </c>
      <c r="B22" t="s">
        <v>374</v>
      </c>
    </row>
    <row r="23" spans="1:2" ht="32" customHeight="1" x14ac:dyDescent="0.2">
      <c r="A23" s="24" t="s">
        <v>105</v>
      </c>
      <c r="B23" t="s">
        <v>375</v>
      </c>
    </row>
    <row r="24" spans="1:2" ht="32" customHeight="1" x14ac:dyDescent="0.2">
      <c r="A24" s="24" t="s">
        <v>239</v>
      </c>
      <c r="B24" t="s">
        <v>376</v>
      </c>
    </row>
    <row r="25" spans="1:2" ht="32" customHeight="1" x14ac:dyDescent="0.2">
      <c r="A25" s="24" t="s">
        <v>240</v>
      </c>
      <c r="B25" t="s">
        <v>377</v>
      </c>
    </row>
    <row r="26" spans="1:2" ht="32" customHeight="1" x14ac:dyDescent="0.2">
      <c r="A26" s="24" t="s">
        <v>241</v>
      </c>
      <c r="B26" t="s">
        <v>378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baseColWidth="10" defaultColWidth="8.83203125" defaultRowHeight="15" x14ac:dyDescent="0.2"/>
  <cols>
    <col min="1" max="1" width="22" customWidth="1"/>
    <col min="2" max="2" width="60" customWidth="1"/>
    <col min="3" max="3" width="34" customWidth="1"/>
    <col min="4" max="4" width="44" customWidth="1"/>
  </cols>
  <sheetData>
    <row r="1" spans="1:4" ht="19" x14ac:dyDescent="0.25">
      <c r="A1" s="22" t="s">
        <v>379</v>
      </c>
    </row>
    <row r="3" spans="1:4" ht="16" x14ac:dyDescent="0.2">
      <c r="A3" s="25" t="s">
        <v>380</v>
      </c>
      <c r="B3" s="25" t="s">
        <v>381</v>
      </c>
      <c r="C3" s="25" t="s">
        <v>382</v>
      </c>
      <c r="D3" s="25" t="s">
        <v>383</v>
      </c>
    </row>
    <row r="4" spans="1:4" ht="32" x14ac:dyDescent="0.2">
      <c r="A4" s="5" t="s">
        <v>384</v>
      </c>
      <c r="B4" s="26" t="s">
        <v>262</v>
      </c>
      <c r="C4" s="5" t="s">
        <v>385</v>
      </c>
      <c r="D4" s="5" t="s">
        <v>386</v>
      </c>
    </row>
    <row r="5" spans="1:4" ht="32" x14ac:dyDescent="0.2">
      <c r="A5" s="5" t="s">
        <v>387</v>
      </c>
      <c r="B5" s="26" t="s">
        <v>263</v>
      </c>
      <c r="C5" s="5" t="s">
        <v>388</v>
      </c>
      <c r="D5" s="5" t="s">
        <v>389</v>
      </c>
    </row>
    <row r="6" spans="1:4" ht="32" x14ac:dyDescent="0.2">
      <c r="A6" s="5" t="s">
        <v>384</v>
      </c>
      <c r="B6" s="26" t="s">
        <v>264</v>
      </c>
      <c r="C6" s="5" t="s">
        <v>390</v>
      </c>
      <c r="D6" s="5" t="s">
        <v>391</v>
      </c>
    </row>
    <row r="7" spans="1:4" ht="16" x14ac:dyDescent="0.2">
      <c r="A7" s="5" t="s">
        <v>392</v>
      </c>
      <c r="B7" s="26" t="s">
        <v>265</v>
      </c>
      <c r="C7" s="5" t="s">
        <v>393</v>
      </c>
      <c r="D7" s="5" t="s">
        <v>394</v>
      </c>
    </row>
    <row r="8" spans="1:4" ht="32" x14ac:dyDescent="0.2">
      <c r="A8" s="5" t="s">
        <v>395</v>
      </c>
      <c r="B8" s="26" t="s">
        <v>267</v>
      </c>
      <c r="C8" s="5" t="s">
        <v>396</v>
      </c>
      <c r="D8" s="5" t="s">
        <v>397</v>
      </c>
    </row>
    <row r="9" spans="1:4" ht="32" x14ac:dyDescent="0.2">
      <c r="A9" s="5" t="s">
        <v>398</v>
      </c>
      <c r="B9" s="26" t="s">
        <v>330</v>
      </c>
      <c r="C9" s="5" t="s">
        <v>399</v>
      </c>
      <c r="D9" s="5" t="s">
        <v>400</v>
      </c>
    </row>
    <row r="10" spans="1:4" ht="16" x14ac:dyDescent="0.2">
      <c r="A10" s="5" t="s">
        <v>401</v>
      </c>
      <c r="B10" s="26" t="s">
        <v>286</v>
      </c>
      <c r="C10" s="5" t="s">
        <v>402</v>
      </c>
      <c r="D10" s="5" t="s">
        <v>403</v>
      </c>
    </row>
    <row r="11" spans="1:4" ht="16" x14ac:dyDescent="0.2">
      <c r="A11" s="5" t="s">
        <v>401</v>
      </c>
      <c r="B11" s="26" t="s">
        <v>315</v>
      </c>
      <c r="C11" s="5" t="s">
        <v>404</v>
      </c>
      <c r="D11" s="5" t="s">
        <v>405</v>
      </c>
    </row>
    <row r="12" spans="1:4" ht="16" x14ac:dyDescent="0.2">
      <c r="A12" s="5" t="s">
        <v>401</v>
      </c>
      <c r="B12" s="26" t="s">
        <v>322</v>
      </c>
      <c r="C12" s="5" t="s">
        <v>406</v>
      </c>
      <c r="D12" s="5" t="s">
        <v>407</v>
      </c>
    </row>
    <row r="13" spans="1:4" ht="30" x14ac:dyDescent="0.2">
      <c r="A13" s="5" t="s">
        <v>408</v>
      </c>
      <c r="B13" s="26" t="s">
        <v>331</v>
      </c>
      <c r="C13" s="5" t="s">
        <v>409</v>
      </c>
      <c r="D13" s="5" t="s">
        <v>410</v>
      </c>
    </row>
    <row r="14" spans="1:4" ht="32" x14ac:dyDescent="0.2">
      <c r="A14" s="5" t="s">
        <v>411</v>
      </c>
      <c r="B14" s="26" t="s">
        <v>412</v>
      </c>
      <c r="C14" s="5" t="s">
        <v>413</v>
      </c>
      <c r="D14" s="5" t="s">
        <v>414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"/>
  <sheetViews>
    <sheetView workbookViewId="0"/>
  </sheetViews>
  <sheetFormatPr baseColWidth="10" defaultColWidth="8.83203125" defaultRowHeight="15" x14ac:dyDescent="0.2"/>
  <cols>
    <col min="1" max="1" width="28" customWidth="1"/>
    <col min="2" max="2" width="18" customWidth="1"/>
    <col min="3" max="3" width="10" customWidth="1"/>
    <col min="4" max="4" width="56" customWidth="1"/>
  </cols>
  <sheetData>
    <row r="1" spans="1:4" ht="19" x14ac:dyDescent="0.25">
      <c r="A1" s="22" t="s">
        <v>415</v>
      </c>
    </row>
    <row r="3" spans="1:4" ht="16" x14ac:dyDescent="0.2">
      <c r="A3" s="24" t="s">
        <v>416</v>
      </c>
      <c r="B3">
        <v>15</v>
      </c>
      <c r="D3" s="23" t="s">
        <v>417</v>
      </c>
    </row>
    <row r="4" spans="1:4" ht="48" x14ac:dyDescent="0.2">
      <c r="A4" s="24" t="s">
        <v>418</v>
      </c>
      <c r="B4" s="27">
        <v>12</v>
      </c>
      <c r="D4" s="5" t="s">
        <v>419</v>
      </c>
    </row>
    <row r="5" spans="1:4" x14ac:dyDescent="0.2">
      <c r="A5" s="24" t="s">
        <v>420</v>
      </c>
      <c r="B5" s="28">
        <v>0.73599999999999999</v>
      </c>
    </row>
    <row r="6" spans="1:4" x14ac:dyDescent="0.2">
      <c r="A6" s="24" t="s">
        <v>421</v>
      </c>
      <c r="B6" s="27">
        <v>19850000000</v>
      </c>
    </row>
    <row r="7" spans="1:4" x14ac:dyDescent="0.2">
      <c r="A7" s="24" t="s">
        <v>422</v>
      </c>
      <c r="B7" s="27">
        <v>69267000000</v>
      </c>
    </row>
    <row r="8" spans="1:4" x14ac:dyDescent="0.2">
      <c r="A8" s="24" t="s">
        <v>423</v>
      </c>
      <c r="B8" s="27">
        <v>-4159130000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CountryTimeSeries</vt:lpstr>
      <vt:lpstr>CrossBorderFlows_BIS</vt:lpstr>
      <vt:lpstr>BlackRockFunds_EMD</vt:lpstr>
      <vt:lpstr>FundHoldings_Snapshot</vt:lpstr>
      <vt:lpstr>SovereignEvents</vt:lpstr>
      <vt:lpstr>CrisisWindows_Panel</vt:lpstr>
      <vt:lpstr>Documentation</vt:lpstr>
      <vt:lpstr>Legacy_Sovereign_Snapshot</vt:lpstr>
      <vt:lpstr>Legacy_Methodology</vt:lpstr>
      <vt:lpstr>Legacy_Source_Catalog</vt:lpstr>
      <vt:lpstr>Legacy_Summary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YichenZou</cp:lastModifiedBy>
  <dcterms:created xsi:type="dcterms:W3CDTF">2026-03-12T21:11:40Z</dcterms:created>
  <dcterms:modified xsi:type="dcterms:W3CDTF">2026-03-12T21:11:40Z</dcterms:modified>
</cp:coreProperties>
</file>